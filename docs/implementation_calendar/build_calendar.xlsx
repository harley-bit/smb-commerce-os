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hase Summary" sheetId="2" state="visible" r:id="rId2"/>
    <sheet xmlns:r="http://schemas.openxmlformats.org/officeDocument/2006/relationships" name="Daily Plan" sheetId="3" state="visible" r:id="rId3"/>
    <sheet xmlns:r="http://schemas.openxmlformats.org/officeDocument/2006/relationships" name="Weekly Review" sheetId="4" state="visible" r:id="rId4"/>
    <sheet xmlns:r="http://schemas.openxmlformats.org/officeDocument/2006/relationships" name="Escalation Trigger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"/>
    <numFmt numFmtId="166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top" wrapText="1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164" fontId="9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166" fontId="9" fillId="0" borderId="1" applyAlignment="1" pivotButton="0" quotePrefix="0" xfId="0">
      <alignment horizontal="general" vertical="top" wrapText="1"/>
    </xf>
    <xf numFmtId="164" fontId="8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top" wrapText="1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top" wrapText="1"/>
    </xf>
    <xf numFmtId="0" fontId="10" fillId="0" borderId="0" pivotButton="0" quotePrefix="0" xfId="0"/>
    <xf numFmtId="0" fontId="9" fillId="5" borderId="1" applyAlignment="1" pivotButton="0" quotePrefix="0" xfId="0">
      <alignment horizontal="general" vertical="top" wrapText="1"/>
    </xf>
    <xf numFmtId="164" fontId="9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166" fontId="9" fillId="0" borderId="1" applyAlignment="1" pivotButton="0" quotePrefix="0" xfId="0">
      <alignment horizontal="general" vertical="top" wrapText="1"/>
    </xf>
    <xf numFmtId="164" fontId="8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../cards/D001.md" TargetMode="External" Id="rId1"/><Relationship Type="http://schemas.openxmlformats.org/officeDocument/2006/relationships/hyperlink" Target="../logs/D001.md" TargetMode="External" Id="rId2"/><Relationship Type="http://schemas.openxmlformats.org/officeDocument/2006/relationships/hyperlink" Target="../cards/D002.md" TargetMode="External" Id="rId3"/><Relationship Type="http://schemas.openxmlformats.org/officeDocument/2006/relationships/hyperlink" Target="../logs/D002.md" TargetMode="External" Id="rId4"/><Relationship Type="http://schemas.openxmlformats.org/officeDocument/2006/relationships/hyperlink" Target="../cards/D003.md" TargetMode="External" Id="rId5"/><Relationship Type="http://schemas.openxmlformats.org/officeDocument/2006/relationships/hyperlink" Target="../logs/D003.md" TargetMode="External" Id="rId6"/><Relationship Type="http://schemas.openxmlformats.org/officeDocument/2006/relationships/hyperlink" Target="../cards/D004.md" TargetMode="External" Id="rId7"/><Relationship Type="http://schemas.openxmlformats.org/officeDocument/2006/relationships/hyperlink" Target="../logs/D004.md" TargetMode="External" Id="rId8"/><Relationship Type="http://schemas.openxmlformats.org/officeDocument/2006/relationships/hyperlink" Target="../cards/D005.md" TargetMode="External" Id="rId9"/><Relationship Type="http://schemas.openxmlformats.org/officeDocument/2006/relationships/hyperlink" Target="../logs/D005.md" TargetMode="External" Id="rId10"/><Relationship Type="http://schemas.openxmlformats.org/officeDocument/2006/relationships/hyperlink" Target="../cards/D006.md" TargetMode="External" Id="rId11"/><Relationship Type="http://schemas.openxmlformats.org/officeDocument/2006/relationships/hyperlink" Target="../logs/D006.md" TargetMode="External" Id="rId12"/><Relationship Type="http://schemas.openxmlformats.org/officeDocument/2006/relationships/hyperlink" Target="../cards/D007.md" TargetMode="External" Id="rId13"/><Relationship Type="http://schemas.openxmlformats.org/officeDocument/2006/relationships/hyperlink" Target="../logs/D007.md" TargetMode="External" Id="rId14"/><Relationship Type="http://schemas.openxmlformats.org/officeDocument/2006/relationships/hyperlink" Target="../cards/D008.md" TargetMode="External" Id="rId15"/><Relationship Type="http://schemas.openxmlformats.org/officeDocument/2006/relationships/hyperlink" Target="../logs/D008.md" TargetMode="External" Id="rId16"/><Relationship Type="http://schemas.openxmlformats.org/officeDocument/2006/relationships/hyperlink" Target="../cards/D009.md" TargetMode="External" Id="rId17"/><Relationship Type="http://schemas.openxmlformats.org/officeDocument/2006/relationships/hyperlink" Target="../logs/D009.md" TargetMode="External" Id="rId18"/><Relationship Type="http://schemas.openxmlformats.org/officeDocument/2006/relationships/hyperlink" Target="../cards/D010.md" TargetMode="External" Id="rId19"/><Relationship Type="http://schemas.openxmlformats.org/officeDocument/2006/relationships/hyperlink" Target="../logs/D010.md" TargetMode="External" Id="rId20"/><Relationship Type="http://schemas.openxmlformats.org/officeDocument/2006/relationships/hyperlink" Target="../cards/D011.md" TargetMode="External" Id="rId21"/><Relationship Type="http://schemas.openxmlformats.org/officeDocument/2006/relationships/hyperlink" Target="../logs/D011.md" TargetMode="External" Id="rId22"/><Relationship Type="http://schemas.openxmlformats.org/officeDocument/2006/relationships/hyperlink" Target="../cards/D012.md" TargetMode="External" Id="rId23"/><Relationship Type="http://schemas.openxmlformats.org/officeDocument/2006/relationships/hyperlink" Target="../logs/D012.md" TargetMode="External" Id="rId24"/><Relationship Type="http://schemas.openxmlformats.org/officeDocument/2006/relationships/hyperlink" Target="../cards/D013.md" TargetMode="External" Id="rId25"/><Relationship Type="http://schemas.openxmlformats.org/officeDocument/2006/relationships/hyperlink" Target="../logs/D013.md" TargetMode="External" Id="rId26"/><Relationship Type="http://schemas.openxmlformats.org/officeDocument/2006/relationships/hyperlink" Target="../cards/D014.md" TargetMode="External" Id="rId27"/><Relationship Type="http://schemas.openxmlformats.org/officeDocument/2006/relationships/hyperlink" Target="../logs/D014.md" TargetMode="External" Id="rId28"/><Relationship Type="http://schemas.openxmlformats.org/officeDocument/2006/relationships/hyperlink" Target="../cards/D015.md" TargetMode="External" Id="rId29"/><Relationship Type="http://schemas.openxmlformats.org/officeDocument/2006/relationships/hyperlink" Target="../logs/D015.md" TargetMode="External" Id="rId30"/><Relationship Type="http://schemas.openxmlformats.org/officeDocument/2006/relationships/hyperlink" Target="../cards/D016.md" TargetMode="External" Id="rId31"/><Relationship Type="http://schemas.openxmlformats.org/officeDocument/2006/relationships/hyperlink" Target="../logs/D016.md" TargetMode="External" Id="rId32"/><Relationship Type="http://schemas.openxmlformats.org/officeDocument/2006/relationships/hyperlink" Target="../cards/D017.md" TargetMode="External" Id="rId33"/><Relationship Type="http://schemas.openxmlformats.org/officeDocument/2006/relationships/hyperlink" Target="../logs/D017.md" TargetMode="External" Id="rId34"/><Relationship Type="http://schemas.openxmlformats.org/officeDocument/2006/relationships/hyperlink" Target="../cards/D018.md" TargetMode="External" Id="rId35"/><Relationship Type="http://schemas.openxmlformats.org/officeDocument/2006/relationships/hyperlink" Target="../logs/D018.md" TargetMode="External" Id="rId36"/><Relationship Type="http://schemas.openxmlformats.org/officeDocument/2006/relationships/hyperlink" Target="../cards/D019.md" TargetMode="External" Id="rId37"/><Relationship Type="http://schemas.openxmlformats.org/officeDocument/2006/relationships/hyperlink" Target="../logs/D019.md" TargetMode="External" Id="rId38"/><Relationship Type="http://schemas.openxmlformats.org/officeDocument/2006/relationships/hyperlink" Target="../cards/D020.md" TargetMode="External" Id="rId39"/><Relationship Type="http://schemas.openxmlformats.org/officeDocument/2006/relationships/hyperlink" Target="../logs/D020.md" TargetMode="External" Id="rId40"/><Relationship Type="http://schemas.openxmlformats.org/officeDocument/2006/relationships/hyperlink" Target="../cards/D021.md" TargetMode="External" Id="rId41"/><Relationship Type="http://schemas.openxmlformats.org/officeDocument/2006/relationships/hyperlink" Target="../logs/D021.md" TargetMode="External" Id="rId42"/><Relationship Type="http://schemas.openxmlformats.org/officeDocument/2006/relationships/hyperlink" Target="../cards/D022.md" TargetMode="External" Id="rId43"/><Relationship Type="http://schemas.openxmlformats.org/officeDocument/2006/relationships/hyperlink" Target="../logs/D022.md" TargetMode="External" Id="rId44"/><Relationship Type="http://schemas.openxmlformats.org/officeDocument/2006/relationships/hyperlink" Target="../cards/D023.md" TargetMode="External" Id="rId45"/><Relationship Type="http://schemas.openxmlformats.org/officeDocument/2006/relationships/hyperlink" Target="../logs/D023.md" TargetMode="External" Id="rId46"/><Relationship Type="http://schemas.openxmlformats.org/officeDocument/2006/relationships/hyperlink" Target="../cards/D024.md" TargetMode="External" Id="rId47"/><Relationship Type="http://schemas.openxmlformats.org/officeDocument/2006/relationships/hyperlink" Target="../logs/D024.md" TargetMode="External" Id="rId48"/><Relationship Type="http://schemas.openxmlformats.org/officeDocument/2006/relationships/hyperlink" Target="../cards/D025.md" TargetMode="External" Id="rId49"/><Relationship Type="http://schemas.openxmlformats.org/officeDocument/2006/relationships/hyperlink" Target="../logs/D025.md" TargetMode="External" Id="rId50"/><Relationship Type="http://schemas.openxmlformats.org/officeDocument/2006/relationships/hyperlink" Target="../cards/D026.md" TargetMode="External" Id="rId51"/><Relationship Type="http://schemas.openxmlformats.org/officeDocument/2006/relationships/hyperlink" Target="../logs/D026.md" TargetMode="External" Id="rId52"/><Relationship Type="http://schemas.openxmlformats.org/officeDocument/2006/relationships/hyperlink" Target="../cards/D027.md" TargetMode="External" Id="rId53"/><Relationship Type="http://schemas.openxmlformats.org/officeDocument/2006/relationships/hyperlink" Target="../logs/D027.md" TargetMode="External" Id="rId54"/><Relationship Type="http://schemas.openxmlformats.org/officeDocument/2006/relationships/hyperlink" Target="../cards/D028.md" TargetMode="External" Id="rId55"/><Relationship Type="http://schemas.openxmlformats.org/officeDocument/2006/relationships/hyperlink" Target="../logs/D028.md" TargetMode="External" Id="rId56"/><Relationship Type="http://schemas.openxmlformats.org/officeDocument/2006/relationships/hyperlink" Target="../cards/D029.md" TargetMode="External" Id="rId57"/><Relationship Type="http://schemas.openxmlformats.org/officeDocument/2006/relationships/hyperlink" Target="../logs/D029.md" TargetMode="External" Id="rId58"/><Relationship Type="http://schemas.openxmlformats.org/officeDocument/2006/relationships/hyperlink" Target="../cards/D030.md" TargetMode="External" Id="rId59"/><Relationship Type="http://schemas.openxmlformats.org/officeDocument/2006/relationships/hyperlink" Target="../logs/D030.md" TargetMode="External" Id="rId60"/><Relationship Type="http://schemas.openxmlformats.org/officeDocument/2006/relationships/hyperlink" Target="../cards/D031.md" TargetMode="External" Id="rId61"/><Relationship Type="http://schemas.openxmlformats.org/officeDocument/2006/relationships/hyperlink" Target="../logs/D031.md" TargetMode="External" Id="rId62"/><Relationship Type="http://schemas.openxmlformats.org/officeDocument/2006/relationships/hyperlink" Target="../cards/D032.md" TargetMode="External" Id="rId63"/><Relationship Type="http://schemas.openxmlformats.org/officeDocument/2006/relationships/hyperlink" Target="../logs/D032.md" TargetMode="External" Id="rId64"/><Relationship Type="http://schemas.openxmlformats.org/officeDocument/2006/relationships/hyperlink" Target="../cards/D033.md" TargetMode="External" Id="rId65"/><Relationship Type="http://schemas.openxmlformats.org/officeDocument/2006/relationships/hyperlink" Target="../logs/D033.md" TargetMode="External" Id="rId66"/><Relationship Type="http://schemas.openxmlformats.org/officeDocument/2006/relationships/hyperlink" Target="../cards/D034.md" TargetMode="External" Id="rId67"/><Relationship Type="http://schemas.openxmlformats.org/officeDocument/2006/relationships/hyperlink" Target="../logs/D034.md" TargetMode="External" Id="rId68"/><Relationship Type="http://schemas.openxmlformats.org/officeDocument/2006/relationships/hyperlink" Target="../cards/D035.md" TargetMode="External" Id="rId69"/><Relationship Type="http://schemas.openxmlformats.org/officeDocument/2006/relationships/hyperlink" Target="../logs/D035.md" TargetMode="External" Id="rId70"/><Relationship Type="http://schemas.openxmlformats.org/officeDocument/2006/relationships/hyperlink" Target="../cards/D036.md" TargetMode="External" Id="rId71"/><Relationship Type="http://schemas.openxmlformats.org/officeDocument/2006/relationships/hyperlink" Target="../logs/D036.md" TargetMode="External" Id="rId72"/><Relationship Type="http://schemas.openxmlformats.org/officeDocument/2006/relationships/hyperlink" Target="../cards/D037.md" TargetMode="External" Id="rId73"/><Relationship Type="http://schemas.openxmlformats.org/officeDocument/2006/relationships/hyperlink" Target="../logs/D037.md" TargetMode="External" Id="rId74"/><Relationship Type="http://schemas.openxmlformats.org/officeDocument/2006/relationships/hyperlink" Target="../cards/D038.md" TargetMode="External" Id="rId75"/><Relationship Type="http://schemas.openxmlformats.org/officeDocument/2006/relationships/hyperlink" Target="../logs/D038.md" TargetMode="External" Id="rId76"/><Relationship Type="http://schemas.openxmlformats.org/officeDocument/2006/relationships/hyperlink" Target="../cards/D039.md" TargetMode="External" Id="rId77"/><Relationship Type="http://schemas.openxmlformats.org/officeDocument/2006/relationships/hyperlink" Target="../logs/D039.md" TargetMode="External" Id="rId78"/><Relationship Type="http://schemas.openxmlformats.org/officeDocument/2006/relationships/hyperlink" Target="../cards/D040.md" TargetMode="External" Id="rId79"/><Relationship Type="http://schemas.openxmlformats.org/officeDocument/2006/relationships/hyperlink" Target="../logs/D040.md" TargetMode="External" Id="rId80"/><Relationship Type="http://schemas.openxmlformats.org/officeDocument/2006/relationships/hyperlink" Target="../cards/D041.md" TargetMode="External" Id="rId81"/><Relationship Type="http://schemas.openxmlformats.org/officeDocument/2006/relationships/hyperlink" Target="../logs/D041.md" TargetMode="External" Id="rId82"/><Relationship Type="http://schemas.openxmlformats.org/officeDocument/2006/relationships/hyperlink" Target="../cards/D042.md" TargetMode="External" Id="rId83"/><Relationship Type="http://schemas.openxmlformats.org/officeDocument/2006/relationships/hyperlink" Target="../logs/D042.md" TargetMode="External" Id="rId84"/><Relationship Type="http://schemas.openxmlformats.org/officeDocument/2006/relationships/hyperlink" Target="../cards/D043.md" TargetMode="External" Id="rId85"/><Relationship Type="http://schemas.openxmlformats.org/officeDocument/2006/relationships/hyperlink" Target="../logs/D043.md" TargetMode="External" Id="rId86"/><Relationship Type="http://schemas.openxmlformats.org/officeDocument/2006/relationships/hyperlink" Target="../cards/D044.md" TargetMode="External" Id="rId87"/><Relationship Type="http://schemas.openxmlformats.org/officeDocument/2006/relationships/hyperlink" Target="../logs/D044.md" TargetMode="External" Id="rId88"/><Relationship Type="http://schemas.openxmlformats.org/officeDocument/2006/relationships/hyperlink" Target="../cards/D045.md" TargetMode="External" Id="rId89"/><Relationship Type="http://schemas.openxmlformats.org/officeDocument/2006/relationships/hyperlink" Target="../logs/D045.md" TargetMode="External" Id="rId90"/><Relationship Type="http://schemas.openxmlformats.org/officeDocument/2006/relationships/hyperlink" Target="../cards/D046.md" TargetMode="External" Id="rId91"/><Relationship Type="http://schemas.openxmlformats.org/officeDocument/2006/relationships/hyperlink" Target="../logs/D046.md" TargetMode="External" Id="rId92"/><Relationship Type="http://schemas.openxmlformats.org/officeDocument/2006/relationships/hyperlink" Target="../cards/D047.md" TargetMode="External" Id="rId93"/><Relationship Type="http://schemas.openxmlformats.org/officeDocument/2006/relationships/hyperlink" Target="../logs/D047.md" TargetMode="External" Id="rId94"/><Relationship Type="http://schemas.openxmlformats.org/officeDocument/2006/relationships/hyperlink" Target="../cards/D048.md" TargetMode="External" Id="rId95"/><Relationship Type="http://schemas.openxmlformats.org/officeDocument/2006/relationships/hyperlink" Target="../logs/D048.md" TargetMode="External" Id="rId96"/><Relationship Type="http://schemas.openxmlformats.org/officeDocument/2006/relationships/hyperlink" Target="../cards/D049.md" TargetMode="External" Id="rId97"/><Relationship Type="http://schemas.openxmlformats.org/officeDocument/2006/relationships/hyperlink" Target="../logs/D049.md" TargetMode="External" Id="rId98"/><Relationship Type="http://schemas.openxmlformats.org/officeDocument/2006/relationships/hyperlink" Target="../cards/D050.md" TargetMode="External" Id="rId99"/><Relationship Type="http://schemas.openxmlformats.org/officeDocument/2006/relationships/hyperlink" Target="../logs/D050.md" TargetMode="External" Id="rId100"/><Relationship Type="http://schemas.openxmlformats.org/officeDocument/2006/relationships/hyperlink" Target="../cards/D051.md" TargetMode="External" Id="rId101"/><Relationship Type="http://schemas.openxmlformats.org/officeDocument/2006/relationships/hyperlink" Target="../logs/D051.md" TargetMode="External" Id="rId102"/><Relationship Type="http://schemas.openxmlformats.org/officeDocument/2006/relationships/hyperlink" Target="../cards/D052.md" TargetMode="External" Id="rId103"/><Relationship Type="http://schemas.openxmlformats.org/officeDocument/2006/relationships/hyperlink" Target="../logs/D052.md" TargetMode="External" Id="rId104"/><Relationship Type="http://schemas.openxmlformats.org/officeDocument/2006/relationships/hyperlink" Target="../cards/D053.md" TargetMode="External" Id="rId105"/><Relationship Type="http://schemas.openxmlformats.org/officeDocument/2006/relationships/hyperlink" Target="../logs/D053.md" TargetMode="External" Id="rId106"/><Relationship Type="http://schemas.openxmlformats.org/officeDocument/2006/relationships/hyperlink" Target="../cards/D054.md" TargetMode="External" Id="rId107"/><Relationship Type="http://schemas.openxmlformats.org/officeDocument/2006/relationships/hyperlink" Target="../logs/D054.md" TargetMode="External" Id="rId108"/><Relationship Type="http://schemas.openxmlformats.org/officeDocument/2006/relationships/hyperlink" Target="../cards/D055.md" TargetMode="External" Id="rId109"/><Relationship Type="http://schemas.openxmlformats.org/officeDocument/2006/relationships/hyperlink" Target="../logs/D055.md" TargetMode="External" Id="rId110"/><Relationship Type="http://schemas.openxmlformats.org/officeDocument/2006/relationships/hyperlink" Target="../cards/D056.md" TargetMode="External" Id="rId111"/><Relationship Type="http://schemas.openxmlformats.org/officeDocument/2006/relationships/hyperlink" Target="../logs/D056.md" TargetMode="External" Id="rId112"/><Relationship Type="http://schemas.openxmlformats.org/officeDocument/2006/relationships/hyperlink" Target="../cards/D057.md" TargetMode="External" Id="rId113"/><Relationship Type="http://schemas.openxmlformats.org/officeDocument/2006/relationships/hyperlink" Target="../logs/D057.md" TargetMode="External" Id="rId114"/><Relationship Type="http://schemas.openxmlformats.org/officeDocument/2006/relationships/hyperlink" Target="../cards/D058.md" TargetMode="External" Id="rId115"/><Relationship Type="http://schemas.openxmlformats.org/officeDocument/2006/relationships/hyperlink" Target="../logs/D058.md" TargetMode="External" Id="rId116"/><Relationship Type="http://schemas.openxmlformats.org/officeDocument/2006/relationships/hyperlink" Target="../cards/D059.md" TargetMode="External" Id="rId117"/><Relationship Type="http://schemas.openxmlformats.org/officeDocument/2006/relationships/hyperlink" Target="../logs/D059.md" TargetMode="External" Id="rId118"/><Relationship Type="http://schemas.openxmlformats.org/officeDocument/2006/relationships/hyperlink" Target="../cards/D060.md" TargetMode="External" Id="rId119"/><Relationship Type="http://schemas.openxmlformats.org/officeDocument/2006/relationships/hyperlink" Target="../logs/D060.md" TargetMode="External" Id="rId120"/><Relationship Type="http://schemas.openxmlformats.org/officeDocument/2006/relationships/hyperlink" Target="../cards/D061.md" TargetMode="External" Id="rId121"/><Relationship Type="http://schemas.openxmlformats.org/officeDocument/2006/relationships/hyperlink" Target="../logs/D061.md" TargetMode="External" Id="rId122"/><Relationship Type="http://schemas.openxmlformats.org/officeDocument/2006/relationships/hyperlink" Target="../cards/D062.md" TargetMode="External" Id="rId123"/><Relationship Type="http://schemas.openxmlformats.org/officeDocument/2006/relationships/hyperlink" Target="../logs/D062.md" TargetMode="External" Id="rId124"/><Relationship Type="http://schemas.openxmlformats.org/officeDocument/2006/relationships/hyperlink" Target="../cards/D063.md" TargetMode="External" Id="rId125"/><Relationship Type="http://schemas.openxmlformats.org/officeDocument/2006/relationships/hyperlink" Target="../logs/D063.md" TargetMode="External" Id="rId126"/><Relationship Type="http://schemas.openxmlformats.org/officeDocument/2006/relationships/hyperlink" Target="../cards/D064.md" TargetMode="External" Id="rId127"/><Relationship Type="http://schemas.openxmlformats.org/officeDocument/2006/relationships/hyperlink" Target="../logs/D064.md" TargetMode="External" Id="rId128"/><Relationship Type="http://schemas.openxmlformats.org/officeDocument/2006/relationships/hyperlink" Target="../cards/D065.md" TargetMode="External" Id="rId129"/><Relationship Type="http://schemas.openxmlformats.org/officeDocument/2006/relationships/hyperlink" Target="../logs/D065.md" TargetMode="External" Id="rId130"/><Relationship Type="http://schemas.openxmlformats.org/officeDocument/2006/relationships/hyperlink" Target="../cards/D066.md" TargetMode="External" Id="rId131"/><Relationship Type="http://schemas.openxmlformats.org/officeDocument/2006/relationships/hyperlink" Target="../logs/D066.md" TargetMode="External" Id="rId132"/><Relationship Type="http://schemas.openxmlformats.org/officeDocument/2006/relationships/hyperlink" Target="../cards/D067.md" TargetMode="External" Id="rId133"/><Relationship Type="http://schemas.openxmlformats.org/officeDocument/2006/relationships/hyperlink" Target="../logs/D067.md" TargetMode="External" Id="rId134"/><Relationship Type="http://schemas.openxmlformats.org/officeDocument/2006/relationships/hyperlink" Target="../cards/D068.md" TargetMode="External" Id="rId135"/><Relationship Type="http://schemas.openxmlformats.org/officeDocument/2006/relationships/hyperlink" Target="../logs/D068.md" TargetMode="External" Id="rId136"/><Relationship Type="http://schemas.openxmlformats.org/officeDocument/2006/relationships/hyperlink" Target="../cards/D069.md" TargetMode="External" Id="rId137"/><Relationship Type="http://schemas.openxmlformats.org/officeDocument/2006/relationships/hyperlink" Target="../logs/D069.md" TargetMode="External" Id="rId138"/><Relationship Type="http://schemas.openxmlformats.org/officeDocument/2006/relationships/hyperlink" Target="../cards/D070.md" TargetMode="External" Id="rId139"/><Relationship Type="http://schemas.openxmlformats.org/officeDocument/2006/relationships/hyperlink" Target="../logs/D070.md" TargetMode="External" Id="rId140"/><Relationship Type="http://schemas.openxmlformats.org/officeDocument/2006/relationships/hyperlink" Target="../cards/D071.md" TargetMode="External" Id="rId141"/><Relationship Type="http://schemas.openxmlformats.org/officeDocument/2006/relationships/hyperlink" Target="../logs/D071.md" TargetMode="External" Id="rId142"/><Relationship Type="http://schemas.openxmlformats.org/officeDocument/2006/relationships/hyperlink" Target="../cards/D072.md" TargetMode="External" Id="rId143"/><Relationship Type="http://schemas.openxmlformats.org/officeDocument/2006/relationships/hyperlink" Target="../logs/D072.md" TargetMode="External" Id="rId144"/><Relationship Type="http://schemas.openxmlformats.org/officeDocument/2006/relationships/hyperlink" Target="../cards/D073.md" TargetMode="External" Id="rId145"/><Relationship Type="http://schemas.openxmlformats.org/officeDocument/2006/relationships/hyperlink" Target="../logs/D073.md" TargetMode="External" Id="rId146"/><Relationship Type="http://schemas.openxmlformats.org/officeDocument/2006/relationships/hyperlink" Target="../cards/D074.md" TargetMode="External" Id="rId147"/><Relationship Type="http://schemas.openxmlformats.org/officeDocument/2006/relationships/hyperlink" Target="../logs/D074.md" TargetMode="External" Id="rId148"/><Relationship Type="http://schemas.openxmlformats.org/officeDocument/2006/relationships/hyperlink" Target="../cards/D075.md" TargetMode="External" Id="rId149"/><Relationship Type="http://schemas.openxmlformats.org/officeDocument/2006/relationships/hyperlink" Target="../logs/D075.md" TargetMode="External" Id="rId150"/><Relationship Type="http://schemas.openxmlformats.org/officeDocument/2006/relationships/hyperlink" Target="../cards/D076.md" TargetMode="External" Id="rId151"/><Relationship Type="http://schemas.openxmlformats.org/officeDocument/2006/relationships/hyperlink" Target="../logs/D076.md" TargetMode="External" Id="rId152"/><Relationship Type="http://schemas.openxmlformats.org/officeDocument/2006/relationships/hyperlink" Target="../cards/D077.md" TargetMode="External" Id="rId153"/><Relationship Type="http://schemas.openxmlformats.org/officeDocument/2006/relationships/hyperlink" Target="../logs/D077.md" TargetMode="External" Id="rId154"/><Relationship Type="http://schemas.openxmlformats.org/officeDocument/2006/relationships/hyperlink" Target="../cards/D078.md" TargetMode="External" Id="rId155"/><Relationship Type="http://schemas.openxmlformats.org/officeDocument/2006/relationships/hyperlink" Target="../logs/D078.md" TargetMode="External" Id="rId156"/><Relationship Type="http://schemas.openxmlformats.org/officeDocument/2006/relationships/hyperlink" Target="../cards/D079.md" TargetMode="External" Id="rId157"/><Relationship Type="http://schemas.openxmlformats.org/officeDocument/2006/relationships/hyperlink" Target="../logs/D079.md" TargetMode="External" Id="rId158"/><Relationship Type="http://schemas.openxmlformats.org/officeDocument/2006/relationships/hyperlink" Target="../cards/D080.md" TargetMode="External" Id="rId159"/><Relationship Type="http://schemas.openxmlformats.org/officeDocument/2006/relationships/hyperlink" Target="../logs/D080.md" TargetMode="External" Id="rId160"/><Relationship Type="http://schemas.openxmlformats.org/officeDocument/2006/relationships/hyperlink" Target="../cards/D081.md" TargetMode="External" Id="rId161"/><Relationship Type="http://schemas.openxmlformats.org/officeDocument/2006/relationships/hyperlink" Target="../logs/D081.md" TargetMode="External" Id="rId162"/><Relationship Type="http://schemas.openxmlformats.org/officeDocument/2006/relationships/hyperlink" Target="../cards/D082.md" TargetMode="External" Id="rId163"/><Relationship Type="http://schemas.openxmlformats.org/officeDocument/2006/relationships/hyperlink" Target="../logs/D082.md" TargetMode="External" Id="rId164"/><Relationship Type="http://schemas.openxmlformats.org/officeDocument/2006/relationships/hyperlink" Target="../cards/D083.md" TargetMode="External" Id="rId165"/><Relationship Type="http://schemas.openxmlformats.org/officeDocument/2006/relationships/hyperlink" Target="../logs/D083.md" TargetMode="External" Id="rId166"/><Relationship Type="http://schemas.openxmlformats.org/officeDocument/2006/relationships/hyperlink" Target="../cards/D084.md" TargetMode="External" Id="rId167"/><Relationship Type="http://schemas.openxmlformats.org/officeDocument/2006/relationships/hyperlink" Target="../logs/D084.md" TargetMode="External" Id="rId168"/><Relationship Type="http://schemas.openxmlformats.org/officeDocument/2006/relationships/hyperlink" Target="../cards/D085.md" TargetMode="External" Id="rId169"/><Relationship Type="http://schemas.openxmlformats.org/officeDocument/2006/relationships/hyperlink" Target="../logs/D085.md" TargetMode="External" Id="rId170"/><Relationship Type="http://schemas.openxmlformats.org/officeDocument/2006/relationships/hyperlink" Target="../cards/D086.md" TargetMode="External" Id="rId171"/><Relationship Type="http://schemas.openxmlformats.org/officeDocument/2006/relationships/hyperlink" Target="../logs/D086.md" TargetMode="External" Id="rId172"/><Relationship Type="http://schemas.openxmlformats.org/officeDocument/2006/relationships/hyperlink" Target="../cards/D087.md" TargetMode="External" Id="rId173"/><Relationship Type="http://schemas.openxmlformats.org/officeDocument/2006/relationships/hyperlink" Target="../logs/D087.md" TargetMode="External" Id="rId174"/><Relationship Type="http://schemas.openxmlformats.org/officeDocument/2006/relationships/hyperlink" Target="../cards/D088.md" TargetMode="External" Id="rId175"/><Relationship Type="http://schemas.openxmlformats.org/officeDocument/2006/relationships/hyperlink" Target="../logs/D088.md" TargetMode="External" Id="rId176"/><Relationship Type="http://schemas.openxmlformats.org/officeDocument/2006/relationships/hyperlink" Target="../cards/D089.md" TargetMode="External" Id="rId177"/><Relationship Type="http://schemas.openxmlformats.org/officeDocument/2006/relationships/hyperlink" Target="../logs/D089.md" TargetMode="External" Id="rId178"/><Relationship Type="http://schemas.openxmlformats.org/officeDocument/2006/relationships/hyperlink" Target="../cards/D090.md" TargetMode="External" Id="rId179"/><Relationship Type="http://schemas.openxmlformats.org/officeDocument/2006/relationships/hyperlink" Target="../logs/D090.md" TargetMode="External" Id="rId180"/><Relationship Type="http://schemas.openxmlformats.org/officeDocument/2006/relationships/hyperlink" Target="../cards/D091.md" TargetMode="External" Id="rId181"/><Relationship Type="http://schemas.openxmlformats.org/officeDocument/2006/relationships/hyperlink" Target="../logs/D091.md" TargetMode="External" Id="rId182"/><Relationship Type="http://schemas.openxmlformats.org/officeDocument/2006/relationships/hyperlink" Target="../cards/D092.md" TargetMode="External" Id="rId183"/><Relationship Type="http://schemas.openxmlformats.org/officeDocument/2006/relationships/hyperlink" Target="../logs/D092.md" TargetMode="External" Id="rId184"/><Relationship Type="http://schemas.openxmlformats.org/officeDocument/2006/relationships/hyperlink" Target="../cards/D093.md" TargetMode="External" Id="rId185"/><Relationship Type="http://schemas.openxmlformats.org/officeDocument/2006/relationships/hyperlink" Target="../logs/D093.md" TargetMode="External" Id="rId186"/><Relationship Type="http://schemas.openxmlformats.org/officeDocument/2006/relationships/hyperlink" Target="../cards/D094.md" TargetMode="External" Id="rId187"/><Relationship Type="http://schemas.openxmlformats.org/officeDocument/2006/relationships/hyperlink" Target="../logs/D094.md" TargetMode="External" Id="rId188"/><Relationship Type="http://schemas.openxmlformats.org/officeDocument/2006/relationships/hyperlink" Target="../cards/D095.md" TargetMode="External" Id="rId189"/><Relationship Type="http://schemas.openxmlformats.org/officeDocument/2006/relationships/hyperlink" Target="../logs/D095.md" TargetMode="External" Id="rId190"/><Relationship Type="http://schemas.openxmlformats.org/officeDocument/2006/relationships/hyperlink" Target="../cards/D096.md" TargetMode="External" Id="rId191"/><Relationship Type="http://schemas.openxmlformats.org/officeDocument/2006/relationships/hyperlink" Target="../logs/D096.md" TargetMode="External" Id="rId192"/><Relationship Type="http://schemas.openxmlformats.org/officeDocument/2006/relationships/hyperlink" Target="../cards/D097.md" TargetMode="External" Id="rId193"/><Relationship Type="http://schemas.openxmlformats.org/officeDocument/2006/relationships/hyperlink" Target="../logs/D097.md" TargetMode="External" Id="rId194"/><Relationship Type="http://schemas.openxmlformats.org/officeDocument/2006/relationships/hyperlink" Target="../cards/D098.md" TargetMode="External" Id="rId195"/><Relationship Type="http://schemas.openxmlformats.org/officeDocument/2006/relationships/hyperlink" Target="../logs/D098.md" TargetMode="External" Id="rId196"/><Relationship Type="http://schemas.openxmlformats.org/officeDocument/2006/relationships/hyperlink" Target="../cards/D099.md" TargetMode="External" Id="rId197"/><Relationship Type="http://schemas.openxmlformats.org/officeDocument/2006/relationships/hyperlink" Target="../logs/D099.md" TargetMode="External" Id="rId198"/><Relationship Type="http://schemas.openxmlformats.org/officeDocument/2006/relationships/hyperlink" Target="../cards/D100.md" TargetMode="External" Id="rId199"/><Relationship Type="http://schemas.openxmlformats.org/officeDocument/2006/relationships/hyperlink" Target="../logs/D100.md" TargetMode="External" Id="rId200"/><Relationship Type="http://schemas.openxmlformats.org/officeDocument/2006/relationships/hyperlink" Target="../cards/D101.md" TargetMode="External" Id="rId201"/><Relationship Type="http://schemas.openxmlformats.org/officeDocument/2006/relationships/hyperlink" Target="../logs/D101.md" TargetMode="External" Id="rId202"/><Relationship Type="http://schemas.openxmlformats.org/officeDocument/2006/relationships/hyperlink" Target="../cards/D102.md" TargetMode="External" Id="rId203"/><Relationship Type="http://schemas.openxmlformats.org/officeDocument/2006/relationships/hyperlink" Target="../logs/D102.md" TargetMode="External" Id="rId204"/><Relationship Type="http://schemas.openxmlformats.org/officeDocument/2006/relationships/hyperlink" Target="../cards/D103.md" TargetMode="External" Id="rId205"/><Relationship Type="http://schemas.openxmlformats.org/officeDocument/2006/relationships/hyperlink" Target="../logs/D103.md" TargetMode="External" Id="rId206"/><Relationship Type="http://schemas.openxmlformats.org/officeDocument/2006/relationships/hyperlink" Target="../cards/D104.md" TargetMode="External" Id="rId207"/><Relationship Type="http://schemas.openxmlformats.org/officeDocument/2006/relationships/hyperlink" Target="../logs/D104.md" TargetMode="External" Id="rId208"/><Relationship Type="http://schemas.openxmlformats.org/officeDocument/2006/relationships/hyperlink" Target="../cards/D105.md" TargetMode="External" Id="rId209"/><Relationship Type="http://schemas.openxmlformats.org/officeDocument/2006/relationships/hyperlink" Target="../logs/D105.md" TargetMode="External" Id="rId210"/><Relationship Type="http://schemas.openxmlformats.org/officeDocument/2006/relationships/hyperlink" Target="../cards/D106.md" TargetMode="External" Id="rId211"/><Relationship Type="http://schemas.openxmlformats.org/officeDocument/2006/relationships/hyperlink" Target="../logs/D106.md" TargetMode="External" Id="rId212"/><Relationship Type="http://schemas.openxmlformats.org/officeDocument/2006/relationships/hyperlink" Target="../cards/D107.md" TargetMode="External" Id="rId213"/><Relationship Type="http://schemas.openxmlformats.org/officeDocument/2006/relationships/hyperlink" Target="../logs/D107.md" TargetMode="External" Id="rId214"/><Relationship Type="http://schemas.openxmlformats.org/officeDocument/2006/relationships/hyperlink" Target="../cards/D108.md" TargetMode="External" Id="rId215"/><Relationship Type="http://schemas.openxmlformats.org/officeDocument/2006/relationships/hyperlink" Target="../logs/D108.md" TargetMode="External" Id="rId216"/><Relationship Type="http://schemas.openxmlformats.org/officeDocument/2006/relationships/hyperlink" Target="../cards/D109.md" TargetMode="External" Id="rId217"/><Relationship Type="http://schemas.openxmlformats.org/officeDocument/2006/relationships/hyperlink" Target="../logs/D109.md" TargetMode="External" Id="rId218"/><Relationship Type="http://schemas.openxmlformats.org/officeDocument/2006/relationships/hyperlink" Target="../cards/D110.md" TargetMode="External" Id="rId219"/><Relationship Type="http://schemas.openxmlformats.org/officeDocument/2006/relationships/hyperlink" Target="../logs/D110.md" TargetMode="External" Id="rId220"/><Relationship Type="http://schemas.openxmlformats.org/officeDocument/2006/relationships/hyperlink" Target="../cards/D111.md" TargetMode="External" Id="rId221"/><Relationship Type="http://schemas.openxmlformats.org/officeDocument/2006/relationships/hyperlink" Target="../logs/D111.md" TargetMode="External" Id="rId222"/><Relationship Type="http://schemas.openxmlformats.org/officeDocument/2006/relationships/hyperlink" Target="../cards/D112.md" TargetMode="External" Id="rId223"/><Relationship Type="http://schemas.openxmlformats.org/officeDocument/2006/relationships/hyperlink" Target="../logs/D112.md" TargetMode="External" Id="rId224"/><Relationship Type="http://schemas.openxmlformats.org/officeDocument/2006/relationships/hyperlink" Target="../cards/D113.md" TargetMode="External" Id="rId225"/><Relationship Type="http://schemas.openxmlformats.org/officeDocument/2006/relationships/hyperlink" Target="../logs/D113.md" TargetMode="External" Id="rId226"/><Relationship Type="http://schemas.openxmlformats.org/officeDocument/2006/relationships/hyperlink" Target="../cards/D114.md" TargetMode="External" Id="rId227"/><Relationship Type="http://schemas.openxmlformats.org/officeDocument/2006/relationships/hyperlink" Target="../logs/D114.md" TargetMode="External" Id="rId228"/><Relationship Type="http://schemas.openxmlformats.org/officeDocument/2006/relationships/hyperlink" Target="../cards/D115.md" TargetMode="External" Id="rId229"/><Relationship Type="http://schemas.openxmlformats.org/officeDocument/2006/relationships/hyperlink" Target="../logs/D115.md" TargetMode="External" Id="rId230"/><Relationship Type="http://schemas.openxmlformats.org/officeDocument/2006/relationships/hyperlink" Target="../cards/D116.md" TargetMode="External" Id="rId231"/><Relationship Type="http://schemas.openxmlformats.org/officeDocument/2006/relationships/hyperlink" Target="../logs/D116.md" TargetMode="External" Id="rId232"/><Relationship Type="http://schemas.openxmlformats.org/officeDocument/2006/relationships/hyperlink" Target="../cards/D117.md" TargetMode="External" Id="rId233"/><Relationship Type="http://schemas.openxmlformats.org/officeDocument/2006/relationships/hyperlink" Target="../logs/D117.md" TargetMode="External" Id="rId234"/><Relationship Type="http://schemas.openxmlformats.org/officeDocument/2006/relationships/hyperlink" Target="../cards/D118.md" TargetMode="External" Id="rId235"/><Relationship Type="http://schemas.openxmlformats.org/officeDocument/2006/relationships/hyperlink" Target="../logs/D118.md" TargetMode="External" Id="rId236"/><Relationship Type="http://schemas.openxmlformats.org/officeDocument/2006/relationships/hyperlink" Target="../cards/D119.md" TargetMode="External" Id="rId237"/><Relationship Type="http://schemas.openxmlformats.org/officeDocument/2006/relationships/hyperlink" Target="../logs/D119.md" TargetMode="External" Id="rId238"/><Relationship Type="http://schemas.openxmlformats.org/officeDocument/2006/relationships/hyperlink" Target="../cards/D120.md" TargetMode="External" Id="rId239"/><Relationship Type="http://schemas.openxmlformats.org/officeDocument/2006/relationships/hyperlink" Target="../logs/D120.md" TargetMode="External" Id="rId240"/><Relationship Type="http://schemas.openxmlformats.org/officeDocument/2006/relationships/hyperlink" Target="../cards/D121.md" TargetMode="External" Id="rId241"/><Relationship Type="http://schemas.openxmlformats.org/officeDocument/2006/relationships/hyperlink" Target="../logs/D121.md" TargetMode="External" Id="rId242"/><Relationship Type="http://schemas.openxmlformats.org/officeDocument/2006/relationships/hyperlink" Target="../cards/D122.md" TargetMode="External" Id="rId243"/><Relationship Type="http://schemas.openxmlformats.org/officeDocument/2006/relationships/hyperlink" Target="../logs/D122.md" TargetMode="External" Id="rId244"/><Relationship Type="http://schemas.openxmlformats.org/officeDocument/2006/relationships/hyperlink" Target="../cards/D123.md" TargetMode="External" Id="rId245"/><Relationship Type="http://schemas.openxmlformats.org/officeDocument/2006/relationships/hyperlink" Target="../logs/D123.md" TargetMode="External" Id="rId246"/><Relationship Type="http://schemas.openxmlformats.org/officeDocument/2006/relationships/hyperlink" Target="../cards/D124.md" TargetMode="External" Id="rId247"/><Relationship Type="http://schemas.openxmlformats.org/officeDocument/2006/relationships/hyperlink" Target="../logs/D124.md" TargetMode="External" Id="rId248"/><Relationship Type="http://schemas.openxmlformats.org/officeDocument/2006/relationships/hyperlink" Target="../cards/D125.md" TargetMode="External" Id="rId249"/><Relationship Type="http://schemas.openxmlformats.org/officeDocument/2006/relationships/hyperlink" Target="../logs/D125.md" TargetMode="External" Id="rId250"/><Relationship Type="http://schemas.openxmlformats.org/officeDocument/2006/relationships/hyperlink" Target="../cards/D126.md" TargetMode="External" Id="rId251"/><Relationship Type="http://schemas.openxmlformats.org/officeDocument/2006/relationships/hyperlink" Target="../logs/D126.md" TargetMode="External" Id="rId252"/><Relationship Type="http://schemas.openxmlformats.org/officeDocument/2006/relationships/hyperlink" Target="../cards/D127.md" TargetMode="External" Id="rId253"/><Relationship Type="http://schemas.openxmlformats.org/officeDocument/2006/relationships/hyperlink" Target="../logs/D127.md" TargetMode="External" Id="rId254"/><Relationship Type="http://schemas.openxmlformats.org/officeDocument/2006/relationships/hyperlink" Target="../cards/D128.md" TargetMode="External" Id="rId255"/><Relationship Type="http://schemas.openxmlformats.org/officeDocument/2006/relationships/hyperlink" Target="../logs/D128.md" TargetMode="External" Id="rId256"/><Relationship Type="http://schemas.openxmlformats.org/officeDocument/2006/relationships/hyperlink" Target="../cards/D129.md" TargetMode="External" Id="rId257"/><Relationship Type="http://schemas.openxmlformats.org/officeDocument/2006/relationships/hyperlink" Target="../logs/D129.md" TargetMode="External" Id="rId258"/><Relationship Type="http://schemas.openxmlformats.org/officeDocument/2006/relationships/hyperlink" Target="../cards/D130.md" TargetMode="External" Id="rId259"/><Relationship Type="http://schemas.openxmlformats.org/officeDocument/2006/relationships/hyperlink" Target="../logs/D130.md" TargetMode="External" Id="rId260"/><Relationship Type="http://schemas.openxmlformats.org/officeDocument/2006/relationships/hyperlink" Target="../cards/D131.md" TargetMode="External" Id="rId261"/><Relationship Type="http://schemas.openxmlformats.org/officeDocument/2006/relationships/hyperlink" Target="../logs/D131.md" TargetMode="External" Id="rId262"/><Relationship Type="http://schemas.openxmlformats.org/officeDocument/2006/relationships/hyperlink" Target="../cards/D132.md" TargetMode="External" Id="rId263"/><Relationship Type="http://schemas.openxmlformats.org/officeDocument/2006/relationships/hyperlink" Target="../logs/D132.md" TargetMode="External" Id="rId264"/><Relationship Type="http://schemas.openxmlformats.org/officeDocument/2006/relationships/hyperlink" Target="../cards/D133.md" TargetMode="External" Id="rId265"/><Relationship Type="http://schemas.openxmlformats.org/officeDocument/2006/relationships/hyperlink" Target="../logs/D133.md" TargetMode="External" Id="rId266"/><Relationship Type="http://schemas.openxmlformats.org/officeDocument/2006/relationships/hyperlink" Target="../cards/D134.md" TargetMode="External" Id="rId267"/><Relationship Type="http://schemas.openxmlformats.org/officeDocument/2006/relationships/hyperlink" Target="../logs/D134.md" TargetMode="External" Id="rId268"/><Relationship Type="http://schemas.openxmlformats.org/officeDocument/2006/relationships/hyperlink" Target="../cards/D135.md" TargetMode="External" Id="rId269"/><Relationship Type="http://schemas.openxmlformats.org/officeDocument/2006/relationships/hyperlink" Target="../logs/D135.md" TargetMode="External" Id="rId270"/><Relationship Type="http://schemas.openxmlformats.org/officeDocument/2006/relationships/hyperlink" Target="../cards/D136.md" TargetMode="External" Id="rId271"/><Relationship Type="http://schemas.openxmlformats.org/officeDocument/2006/relationships/hyperlink" Target="../logs/D136.md" TargetMode="External" Id="rId272"/><Relationship Type="http://schemas.openxmlformats.org/officeDocument/2006/relationships/hyperlink" Target="../cards/D137.md" TargetMode="External" Id="rId273"/><Relationship Type="http://schemas.openxmlformats.org/officeDocument/2006/relationships/hyperlink" Target="../logs/D137.md" TargetMode="External" Id="rId274"/><Relationship Type="http://schemas.openxmlformats.org/officeDocument/2006/relationships/hyperlink" Target="../cards/D138.md" TargetMode="External" Id="rId275"/><Relationship Type="http://schemas.openxmlformats.org/officeDocument/2006/relationships/hyperlink" Target="../logs/D138.md" TargetMode="External" Id="rId276"/><Relationship Type="http://schemas.openxmlformats.org/officeDocument/2006/relationships/hyperlink" Target="../cards/D139.md" TargetMode="External" Id="rId277"/><Relationship Type="http://schemas.openxmlformats.org/officeDocument/2006/relationships/hyperlink" Target="../logs/D139.md" TargetMode="External" Id="rId278"/><Relationship Type="http://schemas.openxmlformats.org/officeDocument/2006/relationships/hyperlink" Target="../cards/D140.md" TargetMode="External" Id="rId279"/><Relationship Type="http://schemas.openxmlformats.org/officeDocument/2006/relationships/hyperlink" Target="../logs/D140.md" TargetMode="External" Id="rId280"/><Relationship Type="http://schemas.openxmlformats.org/officeDocument/2006/relationships/hyperlink" Target="../cards/D141.md" TargetMode="External" Id="rId281"/><Relationship Type="http://schemas.openxmlformats.org/officeDocument/2006/relationships/hyperlink" Target="../logs/D141.md" TargetMode="External" Id="rId282"/><Relationship Type="http://schemas.openxmlformats.org/officeDocument/2006/relationships/hyperlink" Target="../cards/D142.md" TargetMode="External" Id="rId283"/><Relationship Type="http://schemas.openxmlformats.org/officeDocument/2006/relationships/hyperlink" Target="../logs/D142.md" TargetMode="External" Id="rId284"/><Relationship Type="http://schemas.openxmlformats.org/officeDocument/2006/relationships/hyperlink" Target="../cards/D143.md" TargetMode="External" Id="rId285"/><Relationship Type="http://schemas.openxmlformats.org/officeDocument/2006/relationships/hyperlink" Target="../logs/D143.md" TargetMode="External" Id="rId286"/><Relationship Type="http://schemas.openxmlformats.org/officeDocument/2006/relationships/hyperlink" Target="../cards/D144.md" TargetMode="External" Id="rId287"/><Relationship Type="http://schemas.openxmlformats.org/officeDocument/2006/relationships/hyperlink" Target="../logs/D144.md" TargetMode="External" Id="rId288"/><Relationship Type="http://schemas.openxmlformats.org/officeDocument/2006/relationships/hyperlink" Target="../cards/D145.md" TargetMode="External" Id="rId289"/><Relationship Type="http://schemas.openxmlformats.org/officeDocument/2006/relationships/hyperlink" Target="../logs/D145.md" TargetMode="External" Id="rId290"/><Relationship Type="http://schemas.openxmlformats.org/officeDocument/2006/relationships/hyperlink" Target="../cards/D146.md" TargetMode="External" Id="rId291"/><Relationship Type="http://schemas.openxmlformats.org/officeDocument/2006/relationships/hyperlink" Target="../logs/D146.md" TargetMode="External" Id="rId292"/><Relationship Type="http://schemas.openxmlformats.org/officeDocument/2006/relationships/hyperlink" Target="../cards/D147.md" TargetMode="External" Id="rId293"/><Relationship Type="http://schemas.openxmlformats.org/officeDocument/2006/relationships/hyperlink" Target="../logs/D147.md" TargetMode="External" Id="rId294"/><Relationship Type="http://schemas.openxmlformats.org/officeDocument/2006/relationships/hyperlink" Target="../cards/D148.md" TargetMode="External" Id="rId295"/><Relationship Type="http://schemas.openxmlformats.org/officeDocument/2006/relationships/hyperlink" Target="../logs/D148.md" TargetMode="External" Id="rId296"/><Relationship Type="http://schemas.openxmlformats.org/officeDocument/2006/relationships/hyperlink" Target="../cards/D149.md" TargetMode="External" Id="rId297"/><Relationship Type="http://schemas.openxmlformats.org/officeDocument/2006/relationships/hyperlink" Target="../logs/D149.md" TargetMode="External" Id="rId298"/><Relationship Type="http://schemas.openxmlformats.org/officeDocument/2006/relationships/hyperlink" Target="../cards/D150.md" TargetMode="External" Id="rId299"/><Relationship Type="http://schemas.openxmlformats.org/officeDocument/2006/relationships/hyperlink" Target="../logs/D150.md" TargetMode="External" Id="rId300"/><Relationship Type="http://schemas.openxmlformats.org/officeDocument/2006/relationships/hyperlink" Target="../cards/D151.md" TargetMode="External" Id="rId301"/><Relationship Type="http://schemas.openxmlformats.org/officeDocument/2006/relationships/hyperlink" Target="../logs/D151.md" TargetMode="External" Id="rId302"/><Relationship Type="http://schemas.openxmlformats.org/officeDocument/2006/relationships/hyperlink" Target="../cards/D152.md" TargetMode="External" Id="rId303"/><Relationship Type="http://schemas.openxmlformats.org/officeDocument/2006/relationships/hyperlink" Target="../logs/D152.md" TargetMode="External" Id="rId304"/><Relationship Type="http://schemas.openxmlformats.org/officeDocument/2006/relationships/hyperlink" Target="../cards/D153.md" TargetMode="External" Id="rId305"/><Relationship Type="http://schemas.openxmlformats.org/officeDocument/2006/relationships/hyperlink" Target="../logs/D153.md" TargetMode="External" Id="rId306"/><Relationship Type="http://schemas.openxmlformats.org/officeDocument/2006/relationships/hyperlink" Target="../cards/D154.md" TargetMode="External" Id="rId307"/><Relationship Type="http://schemas.openxmlformats.org/officeDocument/2006/relationships/hyperlink" Target="../logs/D154.md" TargetMode="External" Id="rId308"/><Relationship Type="http://schemas.openxmlformats.org/officeDocument/2006/relationships/hyperlink" Target="../cards/D155.md" TargetMode="External" Id="rId309"/><Relationship Type="http://schemas.openxmlformats.org/officeDocument/2006/relationships/hyperlink" Target="../logs/D155.md" TargetMode="External" Id="rId310"/><Relationship Type="http://schemas.openxmlformats.org/officeDocument/2006/relationships/hyperlink" Target="../cards/D156.md" TargetMode="External" Id="rId311"/><Relationship Type="http://schemas.openxmlformats.org/officeDocument/2006/relationships/hyperlink" Target="../logs/D156.md" TargetMode="External" Id="rId312"/><Relationship Type="http://schemas.openxmlformats.org/officeDocument/2006/relationships/hyperlink" Target="../cards/D157.md" TargetMode="External" Id="rId313"/><Relationship Type="http://schemas.openxmlformats.org/officeDocument/2006/relationships/hyperlink" Target="../logs/D157.md" TargetMode="External" Id="rId314"/><Relationship Type="http://schemas.openxmlformats.org/officeDocument/2006/relationships/hyperlink" Target="../cards/D158.md" TargetMode="External" Id="rId315"/><Relationship Type="http://schemas.openxmlformats.org/officeDocument/2006/relationships/hyperlink" Target="../logs/D158.md" TargetMode="External" Id="rId316"/><Relationship Type="http://schemas.openxmlformats.org/officeDocument/2006/relationships/hyperlink" Target="../cards/D159.md" TargetMode="External" Id="rId317"/><Relationship Type="http://schemas.openxmlformats.org/officeDocument/2006/relationships/hyperlink" Target="../logs/D159.md" TargetMode="External" Id="rId318"/><Relationship Type="http://schemas.openxmlformats.org/officeDocument/2006/relationships/hyperlink" Target="../cards/D160.md" TargetMode="External" Id="rId319"/><Relationship Type="http://schemas.openxmlformats.org/officeDocument/2006/relationships/hyperlink" Target="../logs/D160.md" TargetMode="External" Id="rId320"/><Relationship Type="http://schemas.openxmlformats.org/officeDocument/2006/relationships/hyperlink" Target="../cards/D161.md" TargetMode="External" Id="rId321"/><Relationship Type="http://schemas.openxmlformats.org/officeDocument/2006/relationships/hyperlink" Target="../logs/D161.md" TargetMode="External" Id="rId322"/><Relationship Type="http://schemas.openxmlformats.org/officeDocument/2006/relationships/hyperlink" Target="../cards/D162.md" TargetMode="External" Id="rId323"/><Relationship Type="http://schemas.openxmlformats.org/officeDocument/2006/relationships/hyperlink" Target="../logs/D162.md" TargetMode="External" Id="rId324"/><Relationship Type="http://schemas.openxmlformats.org/officeDocument/2006/relationships/hyperlink" Target="../cards/D163.md" TargetMode="External" Id="rId325"/><Relationship Type="http://schemas.openxmlformats.org/officeDocument/2006/relationships/hyperlink" Target="../logs/D163.md" TargetMode="External" Id="rId326"/><Relationship Type="http://schemas.openxmlformats.org/officeDocument/2006/relationships/hyperlink" Target="../cards/D164.md" TargetMode="External" Id="rId327"/><Relationship Type="http://schemas.openxmlformats.org/officeDocument/2006/relationships/hyperlink" Target="../logs/D164.md" TargetMode="External" Id="rId328"/><Relationship Type="http://schemas.openxmlformats.org/officeDocument/2006/relationships/hyperlink" Target="../cards/D165.md" TargetMode="External" Id="rId329"/><Relationship Type="http://schemas.openxmlformats.org/officeDocument/2006/relationships/hyperlink" Target="../logs/D165.md" TargetMode="External" Id="rId330"/><Relationship Type="http://schemas.openxmlformats.org/officeDocument/2006/relationships/hyperlink" Target="../cards/D166.md" TargetMode="External" Id="rId331"/><Relationship Type="http://schemas.openxmlformats.org/officeDocument/2006/relationships/hyperlink" Target="../logs/D166.md" TargetMode="External" Id="rId332"/><Relationship Type="http://schemas.openxmlformats.org/officeDocument/2006/relationships/hyperlink" Target="../cards/D167.md" TargetMode="External" Id="rId333"/><Relationship Type="http://schemas.openxmlformats.org/officeDocument/2006/relationships/hyperlink" Target="../logs/D167.md" TargetMode="External" Id="rId334"/><Relationship Type="http://schemas.openxmlformats.org/officeDocument/2006/relationships/hyperlink" Target="../cards/D168.md" TargetMode="External" Id="rId335"/><Relationship Type="http://schemas.openxmlformats.org/officeDocument/2006/relationships/hyperlink" Target="../logs/D168.md" TargetMode="External" Id="rId336"/><Relationship Type="http://schemas.openxmlformats.org/officeDocument/2006/relationships/hyperlink" Target="../cards/D169.md" TargetMode="External" Id="rId337"/><Relationship Type="http://schemas.openxmlformats.org/officeDocument/2006/relationships/hyperlink" Target="../logs/D169.md" TargetMode="External" Id="rId338"/><Relationship Type="http://schemas.openxmlformats.org/officeDocument/2006/relationships/hyperlink" Target="../cards/D170.md" TargetMode="External" Id="rId339"/><Relationship Type="http://schemas.openxmlformats.org/officeDocument/2006/relationships/hyperlink" Target="../logs/D170.md" TargetMode="External" Id="rId340"/><Relationship Type="http://schemas.openxmlformats.org/officeDocument/2006/relationships/hyperlink" Target="../cards/D171.md" TargetMode="External" Id="rId341"/><Relationship Type="http://schemas.openxmlformats.org/officeDocument/2006/relationships/hyperlink" Target="../logs/D171.md" TargetMode="External" Id="rId342"/><Relationship Type="http://schemas.openxmlformats.org/officeDocument/2006/relationships/hyperlink" Target="../cards/D172.md" TargetMode="External" Id="rId343"/><Relationship Type="http://schemas.openxmlformats.org/officeDocument/2006/relationships/hyperlink" Target="../logs/D172.md" TargetMode="External" Id="rId344"/><Relationship Type="http://schemas.openxmlformats.org/officeDocument/2006/relationships/hyperlink" Target="../cards/D173.md" TargetMode="External" Id="rId345"/><Relationship Type="http://schemas.openxmlformats.org/officeDocument/2006/relationships/hyperlink" Target="../logs/D173.md" TargetMode="External" Id="rId346"/><Relationship Type="http://schemas.openxmlformats.org/officeDocument/2006/relationships/hyperlink" Target="../cards/D174.md" TargetMode="External" Id="rId347"/><Relationship Type="http://schemas.openxmlformats.org/officeDocument/2006/relationships/hyperlink" Target="../logs/D174.md" TargetMode="External" Id="rId348"/><Relationship Type="http://schemas.openxmlformats.org/officeDocument/2006/relationships/hyperlink" Target="../cards/D175.md" TargetMode="External" Id="rId349"/><Relationship Type="http://schemas.openxmlformats.org/officeDocument/2006/relationships/hyperlink" Target="../logs/D175.md" TargetMode="External" Id="rId350"/><Relationship Type="http://schemas.openxmlformats.org/officeDocument/2006/relationships/hyperlink" Target="../cards/D176.md" TargetMode="External" Id="rId351"/><Relationship Type="http://schemas.openxmlformats.org/officeDocument/2006/relationships/hyperlink" Target="../logs/D176.md" TargetMode="External" Id="rId35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4" min="1" max="1"/>
    <col width="20" customWidth="1" style="24" min="2" max="2"/>
    <col width="74" customWidth="1" style="24" min="3" max="3"/>
  </cols>
  <sheetData>
    <row r="1" ht="17.35" customHeight="1" s="25">
      <c r="A1" s="26" t="inlineStr">
        <is>
          <t>SMB Commerce OS — Build Calendar Configuration</t>
        </is>
      </c>
    </row>
    <row r="2" ht="15" customHeight="1" s="25">
      <c r="A2" s="27" t="inlineStr">
        <is>
          <t>Set the two blue cells below. Every date in this workbook recalculates from them.</t>
        </is>
      </c>
    </row>
    <row r="4" ht="15" customHeight="1" s="25">
      <c r="A4" s="28" t="inlineStr">
        <is>
          <t>Setting</t>
        </is>
      </c>
      <c r="B4" s="28" t="inlineStr">
        <is>
          <t>Value</t>
        </is>
      </c>
      <c r="C4" s="28" t="inlineStr">
        <is>
          <t>Notes</t>
        </is>
      </c>
    </row>
    <row r="5" ht="15" customHeight="1" s="25">
      <c r="A5" s="29" t="inlineStr">
        <is>
          <t>Build start date</t>
        </is>
      </c>
      <c r="B5" s="30" t="n">
        <v>46279</v>
      </c>
      <c r="C5" s="31" t="inlineStr">
        <is>
          <t>First build day. Must be a weekday.</t>
        </is>
      </c>
    </row>
    <row r="6" ht="15" customHeight="1" s="25">
      <c r="A6" s="29" t="inlineStr">
        <is>
          <t>Build days per week</t>
        </is>
      </c>
      <c r="B6" s="32" t="n">
        <v>3</v>
      </c>
      <c r="C6" s="31" t="inlineStr">
        <is>
          <t>3 = part-time (realistic alongside other commitments). 5 = full-time.</t>
        </is>
      </c>
    </row>
    <row r="8" ht="15" customHeight="1" s="25">
      <c r="A8" s="29" t="inlineStr">
        <is>
          <t>Derived</t>
        </is>
      </c>
    </row>
    <row r="9" ht="15" customHeight="1" s="25">
      <c r="A9" s="31" t="inlineStr">
        <is>
          <t>Total build days</t>
        </is>
      </c>
      <c r="B9" s="31">
        <f>COUNT('Daily Plan'!A5:A180)</f>
        <v/>
      </c>
    </row>
    <row r="10" ht="15" customHeight="1" s="25">
      <c r="A10" s="31" t="inlineStr">
        <is>
          <t>MVP gate date (D136, end of Phase 7)</t>
        </is>
      </c>
      <c r="B10" s="33">
        <f>INDEX('Daily Plan'!$B:$B,136+4)</f>
        <v/>
      </c>
    </row>
    <row r="11" ht="15" customHeight="1" s="25">
      <c r="A11" s="31" t="inlineStr">
        <is>
          <t>Final day date (D176)</t>
        </is>
      </c>
      <c r="B11" s="33">
        <f>INDEX('Daily Plan'!$B:$B,176+4)</f>
        <v/>
      </c>
    </row>
    <row r="12" ht="15" customHeight="1" s="25">
      <c r="A12" s="31" t="inlineStr">
        <is>
          <t>Elapsed weeks to MVP gate</t>
        </is>
      </c>
      <c r="B12" s="34">
        <f>ROUND((B10-B5)/7,1)</f>
        <v/>
      </c>
    </row>
    <row r="13" ht="15" customHeight="1" s="25">
      <c r="A13" s="31" t="inlineStr">
        <is>
          <t>Elapsed weeks total</t>
        </is>
      </c>
      <c r="B13" s="34">
        <f>ROUND((B11-B5)/7,1)</f>
        <v/>
      </c>
    </row>
    <row r="15" ht="15" customHeight="1" s="25">
      <c r="A15" s="29" t="inlineStr">
        <is>
          <t>Legend</t>
        </is>
      </c>
    </row>
    <row r="16" ht="15" customHeight="1" s="25">
      <c r="A16" s="31" t="inlineStr">
        <is>
          <t>Blue text on yellow fill</t>
        </is>
      </c>
      <c r="B16" s="31" t="inlineStr">
        <is>
          <t>Input cell — you edit these</t>
        </is>
      </c>
    </row>
    <row r="17" ht="15" customHeight="1" s="25">
      <c r="A17" s="31" t="inlineStr">
        <is>
          <t>Black text</t>
        </is>
      </c>
      <c r="B17" s="31" t="inlineStr">
        <is>
          <t>Formula — do not overwrite</t>
        </is>
      </c>
    </row>
    <row r="18" ht="15" customHeight="1" s="25">
      <c r="A18" s="31" t="inlineStr">
        <is>
          <t>Green row fill (Daily Plan)</t>
        </is>
      </c>
      <c r="B18" s="31" t="inlineStr">
        <is>
          <t>Phase gate day</t>
        </is>
      </c>
    </row>
    <row r="19" ht="15" customHeight="1" s="25">
      <c r="A19" s="31" t="inlineStr">
        <is>
          <t>Orange row fill (Daily Plan)</t>
        </is>
      </c>
      <c r="B19" s="31" t="inlineStr">
        <is>
          <t>MVP gate (D136)</t>
        </is>
      </c>
    </row>
    <row r="20" ht="15" customHeight="1" s="25">
      <c r="A20" s="31" t="inlineStr">
        <is>
          <t>Status values</t>
        </is>
      </c>
      <c r="B20" s="31" t="inlineStr">
        <is>
          <t>Not started / In progress / Done / Carried / Blocked</t>
        </is>
      </c>
    </row>
    <row r="23" ht="15" customHeight="1" s="25">
      <c r="A23" s="27" t="inlineStr">
        <is>
          <t>Dates are computed as WORKDAY(start, (day-1) x 5 / days_per_week), so the schedule stretches</t>
        </is>
      </c>
    </row>
    <row r="24" ht="15" customHeight="1" s="25">
      <c r="A24" s="27" t="inlineStr">
        <is>
          <t>across calendar weeks according to your chosen cadence. Holidays are not modelled — carry cards as needed.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4" min="1" max="1"/>
    <col width="38" customWidth="1" style="24" min="2" max="2"/>
    <col width="11" customWidth="1" style="24" min="3" max="4"/>
    <col width="8" customWidth="1" style="24" min="5" max="5"/>
    <col width="13" customWidth="1" style="24" min="6" max="7"/>
    <col width="8" customWidth="1" style="24" min="8" max="8"/>
    <col width="56" customWidth="1" style="24" min="9" max="9"/>
  </cols>
  <sheetData>
    <row r="1" ht="17.35" customHeight="1" s="25">
      <c r="A1" s="26" t="inlineStr">
        <is>
          <t>Phase Summary</t>
        </is>
      </c>
    </row>
    <row r="2" ht="15" customHeight="1" s="25">
      <c r="A2" s="27" t="inlineStr">
        <is>
          <t>Dates recalculate from the Config sheet. A gate passes when its acceptance test passes in CI, not when the date arrives.</t>
        </is>
      </c>
    </row>
    <row r="4" ht="30" customHeight="1" s="25">
      <c r="A4" s="35" t="inlineStr">
        <is>
          <t>Phase</t>
        </is>
      </c>
      <c r="B4" s="35" t="inlineStr">
        <is>
          <t>Name</t>
        </is>
      </c>
      <c r="C4" s="35" t="inlineStr">
        <is>
          <t>First day</t>
        </is>
      </c>
      <c r="D4" s="35" t="inlineStr">
        <is>
          <t>Last day</t>
        </is>
      </c>
      <c r="E4" s="35" t="inlineStr">
        <is>
          <t>Days</t>
        </is>
      </c>
      <c r="F4" s="35" t="inlineStr">
        <is>
          <t>Start date</t>
        </is>
      </c>
      <c r="G4" s="35" t="inlineStr">
        <is>
          <t>End date</t>
        </is>
      </c>
      <c r="H4" s="35" t="inlineStr">
        <is>
          <t>Gate</t>
        </is>
      </c>
      <c r="I4" s="35" t="inlineStr">
        <is>
          <t>Gate acceptance criterion</t>
        </is>
      </c>
    </row>
    <row r="5" ht="15" customHeight="1" s="25">
      <c r="A5" s="36" t="n">
        <v>0</v>
      </c>
      <c r="B5" s="37" t="inlineStr">
        <is>
          <t>Foundations &amp; Security Baseline</t>
        </is>
      </c>
      <c r="C5" s="36" t="inlineStr">
        <is>
          <t>D001</t>
        </is>
      </c>
      <c r="D5" s="36" t="inlineStr">
        <is>
          <t>D012</t>
        </is>
      </c>
      <c r="E5" s="36" t="n">
        <v>12</v>
      </c>
      <c r="F5" s="38">
        <f>INDEX('Daily Plan'!$B:$B,1+4)</f>
        <v/>
      </c>
      <c r="G5" s="38">
        <f>INDEX('Daily Plan'!$B:$B,12+4)</f>
        <v/>
      </c>
      <c r="H5" s="37" t="inlineStr">
        <is>
          <t>G0</t>
        </is>
      </c>
      <c r="I5" s="36" t="inlineStr">
        <is>
          <t>Repo, CI, and security gates green on an empty app</t>
        </is>
      </c>
    </row>
    <row r="6" ht="15" customHeight="1" s="25">
      <c r="A6" s="36" t="n">
        <v>1</v>
      </c>
      <c r="B6" s="37" t="inlineStr">
        <is>
          <t>Domain Model &amp; Database</t>
        </is>
      </c>
      <c r="C6" s="36" t="inlineStr">
        <is>
          <t>D013</t>
        </is>
      </c>
      <c r="D6" s="36" t="inlineStr">
        <is>
          <t>D030</t>
        </is>
      </c>
      <c r="E6" s="36" t="n">
        <v>18</v>
      </c>
      <c r="F6" s="38">
        <f>INDEX('Daily Plan'!$B:$B,13+4)</f>
        <v/>
      </c>
      <c r="G6" s="38">
        <f>INDEX('Daily Plan'!$B:$B,30+4)</f>
        <v/>
      </c>
      <c r="H6" s="37" t="inlineStr">
        <is>
          <t>G1</t>
        </is>
      </c>
      <c r="I6" s="36" t="inlineStr">
        <is>
          <t>Schema migrates on both dialects; tenant isolation proven by test</t>
        </is>
      </c>
    </row>
    <row r="7" ht="15" customHeight="1" s="25">
      <c r="A7" s="36" t="n">
        <v>2</v>
      </c>
      <c r="B7" s="37" t="inlineStr">
        <is>
          <t>Catalog &amp; Product Inventory</t>
        </is>
      </c>
      <c r="C7" s="36" t="inlineStr">
        <is>
          <t>D031</t>
        </is>
      </c>
      <c r="D7" s="36" t="inlineStr">
        <is>
          <t>D044</t>
        </is>
      </c>
      <c r="E7" s="36" t="n">
        <v>14</v>
      </c>
      <c r="F7" s="38">
        <f>INDEX('Daily Plan'!$B:$B,31+4)</f>
        <v/>
      </c>
      <c r="G7" s="38">
        <f>INDEX('Daily Plan'!$B:$B,44+4)</f>
        <v/>
      </c>
      <c r="H7" s="37" t="inlineStr">
        <is>
          <t>G2</t>
        </is>
      </c>
      <c r="I7" s="36" t="inlineStr">
        <is>
          <t>A product can be listed, stocked, and sold</t>
        </is>
      </c>
    </row>
    <row r="8" ht="15" customHeight="1" s="25">
      <c r="A8" s="36" t="n">
        <v>3</v>
      </c>
      <c r="B8" s="37" t="inlineStr">
        <is>
          <t>Availability Engine &amp; Services</t>
        </is>
      </c>
      <c r="C8" s="36" t="inlineStr">
        <is>
          <t>D045</t>
        </is>
      </c>
      <c r="D8" s="36" t="inlineStr">
        <is>
          <t>D062</t>
        </is>
      </c>
      <c r="E8" s="36" t="n">
        <v>18</v>
      </c>
      <c r="F8" s="38">
        <f>INDEX('Daily Plan'!$B:$B,45+4)</f>
        <v/>
      </c>
      <c r="G8" s="38">
        <f>INDEX('Daily Plan'!$B:$B,62+4)</f>
        <v/>
      </c>
      <c r="H8" s="37" t="inlineStr">
        <is>
          <t>G3</t>
        </is>
      </c>
      <c r="I8" s="36" t="inlineStr">
        <is>
          <t>No double-booking under real concurrent load, both dialects</t>
        </is>
      </c>
    </row>
    <row r="9" ht="15" customHeight="1" s="25">
      <c r="A9" s="36" t="n">
        <v>4</v>
      </c>
      <c r="B9" s="37" t="inlineStr">
        <is>
          <t>Rentals, Deposits &amp; Returns</t>
        </is>
      </c>
      <c r="C9" s="36" t="inlineStr">
        <is>
          <t>D063</t>
        </is>
      </c>
      <c r="D9" s="36" t="inlineStr">
        <is>
          <t>D086</t>
        </is>
      </c>
      <c r="E9" s="36" t="n">
        <v>24</v>
      </c>
      <c r="F9" s="38">
        <f>INDEX('Daily Plan'!$B:$B,63+4)</f>
        <v/>
      </c>
      <c r="G9" s="38">
        <f>INDEX('Daily Plan'!$B:$B,86+4)</f>
        <v/>
      </c>
      <c r="H9" s="37" t="inlineStr">
        <is>
          <t>G4</t>
        </is>
      </c>
      <c r="I9" s="36" t="inlineStr">
        <is>
          <t>Full rental lifecycle including deposit settlement</t>
        </is>
      </c>
    </row>
    <row r="10" ht="15" customHeight="1" s="25">
      <c r="A10" s="36" t="n">
        <v>5</v>
      </c>
      <c r="B10" s="37" t="inlineStr">
        <is>
          <t>Payments — Stripe Connect</t>
        </is>
      </c>
      <c r="C10" s="36" t="inlineStr">
        <is>
          <t>D087</t>
        </is>
      </c>
      <c r="D10" s="36" t="inlineStr">
        <is>
          <t>D100</t>
        </is>
      </c>
      <c r="E10" s="36" t="n">
        <v>14</v>
      </c>
      <c r="F10" s="38">
        <f>INDEX('Daily Plan'!$B:$B,87+4)</f>
        <v/>
      </c>
      <c r="G10" s="38">
        <f>INDEX('Daily Plan'!$B:$B,100+4)</f>
        <v/>
      </c>
      <c r="H10" s="37" t="inlineStr">
        <is>
          <t>G5</t>
        </is>
      </c>
      <c r="I10" s="36" t="inlineStr">
        <is>
          <t>Money moves correctly in all three modes</t>
        </is>
      </c>
    </row>
    <row r="11" ht="15" customHeight="1" s="25">
      <c r="A11" s="36" t="n">
        <v>6</v>
      </c>
      <c r="B11" s="37" t="inlineStr">
        <is>
          <t>Merchant Dashboard (Web)</t>
        </is>
      </c>
      <c r="C11" s="36" t="inlineStr">
        <is>
          <t>D101</t>
        </is>
      </c>
      <c r="D11" s="36" t="inlineStr">
        <is>
          <t>D120</t>
        </is>
      </c>
      <c r="E11" s="36" t="n">
        <v>20</v>
      </c>
      <c r="F11" s="38">
        <f>INDEX('Daily Plan'!$B:$B,101+4)</f>
        <v/>
      </c>
      <c r="G11" s="38">
        <f>INDEX('Daily Plan'!$B:$B,120+4)</f>
        <v/>
      </c>
      <c r="H11" s="37" t="inlineStr">
        <is>
          <t>G6</t>
        </is>
      </c>
      <c r="I11" s="36" t="inlineStr">
        <is>
          <t>A merchant can operate unaided</t>
        </is>
      </c>
    </row>
    <row r="12" ht="15" customHeight="1" s="25">
      <c r="A12" s="39" t="n">
        <v>7</v>
      </c>
      <c r="B12" s="40" t="inlineStr">
        <is>
          <t>Customer Storefront (Web)</t>
        </is>
      </c>
      <c r="C12" s="39" t="inlineStr">
        <is>
          <t>D121</t>
        </is>
      </c>
      <c r="D12" s="39" t="inlineStr">
        <is>
          <t>D136</t>
        </is>
      </c>
      <c r="E12" s="39" t="n">
        <v>16</v>
      </c>
      <c r="F12" s="41">
        <f>INDEX('Daily Plan'!$B:$B,121+4)</f>
        <v/>
      </c>
      <c r="G12" s="41">
        <f>INDEX('Daily Plan'!$B:$B,136+4)</f>
        <v/>
      </c>
      <c r="H12" s="40" t="inlineStr">
        <is>
          <t>G7</t>
        </is>
      </c>
      <c r="I12" s="39" t="inlineStr">
        <is>
          <t>MVP GATE — pilot-capable, web only</t>
        </is>
      </c>
    </row>
    <row r="13" ht="15" customHeight="1" s="25">
      <c r="A13" s="36" t="n">
        <v>8</v>
      </c>
      <c r="B13" s="37" t="inlineStr">
        <is>
          <t>Mobile Application</t>
        </is>
      </c>
      <c r="C13" s="36" t="inlineStr">
        <is>
          <t>D137</t>
        </is>
      </c>
      <c r="D13" s="36" t="inlineStr">
        <is>
          <t>D152</t>
        </is>
      </c>
      <c r="E13" s="36" t="n">
        <v>16</v>
      </c>
      <c r="F13" s="38">
        <f>INDEX('Daily Plan'!$B:$B,137+4)</f>
        <v/>
      </c>
      <c r="G13" s="38">
        <f>INDEX('Daily Plan'!$B:$B,152+4)</f>
        <v/>
      </c>
      <c r="H13" s="37" t="inlineStr">
        <is>
          <t>G8</t>
        </is>
      </c>
      <c r="I13" s="36" t="inlineStr">
        <is>
          <t>Parity for customer flows on iOS and Android</t>
        </is>
      </c>
    </row>
    <row r="14" ht="15" customHeight="1" s="25">
      <c r="A14" s="36" t="n">
        <v>9</v>
      </c>
      <c r="B14" s="37" t="inlineStr">
        <is>
          <t>Security Hardening &amp; Compliance Pack</t>
        </is>
      </c>
      <c r="C14" s="36" t="inlineStr">
        <is>
          <t>D153</t>
        </is>
      </c>
      <c r="D14" s="36" t="inlineStr">
        <is>
          <t>D166</t>
        </is>
      </c>
      <c r="E14" s="36" t="n">
        <v>14</v>
      </c>
      <c r="F14" s="38">
        <f>INDEX('Daily Plan'!$B:$B,153+4)</f>
        <v/>
      </c>
      <c r="G14" s="38">
        <f>INDEX('Daily Plan'!$B:$B,166+4)</f>
        <v/>
      </c>
      <c r="H14" s="37" t="inlineStr">
        <is>
          <t>G9</t>
        </is>
      </c>
      <c r="I14" s="36" t="inlineStr">
        <is>
          <t>Pen test clean; compliance evidence assembled</t>
        </is>
      </c>
    </row>
    <row r="15" ht="15" customHeight="1" s="25">
      <c r="A15" s="36" t="n">
        <v>10</v>
      </c>
      <c r="B15" s="37" t="inlineStr">
        <is>
          <t>Pilot Readiness &amp; Launch</t>
        </is>
      </c>
      <c r="C15" s="36" t="inlineStr">
        <is>
          <t>D167</t>
        </is>
      </c>
      <c r="D15" s="36" t="inlineStr">
        <is>
          <t>D176</t>
        </is>
      </c>
      <c r="E15" s="36" t="n">
        <v>10</v>
      </c>
      <c r="F15" s="38">
        <f>INDEX('Daily Plan'!$B:$B,167+4)</f>
        <v/>
      </c>
      <c r="G15" s="38">
        <f>INDEX('Daily Plan'!$B:$B,176+4)</f>
        <v/>
      </c>
      <c r="H15" s="37" t="inlineStr">
        <is>
          <t>G10</t>
        </is>
      </c>
      <c r="I15" s="36" t="inlineStr">
        <is>
          <t>First merchant live</t>
        </is>
      </c>
    </row>
    <row r="16" ht="15" customHeight="1" s="25">
      <c r="B16" s="29" t="inlineStr">
        <is>
          <t>TOTAL</t>
        </is>
      </c>
      <c r="E16" s="29">
        <f>SUM(E5:E15)</f>
        <v/>
      </c>
      <c r="F16" s="42">
        <f>Config!B5</f>
        <v/>
      </c>
      <c r="G16" s="42">
        <f>G15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1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4" min="1" max="1"/>
    <col width="12" customWidth="1" style="24" min="2" max="2"/>
    <col width="5" customWidth="1" style="24" min="3" max="3"/>
    <col width="30" customWidth="1" style="24" min="4" max="4"/>
    <col width="20" customWidth="1" style="24" min="5" max="5"/>
    <col width="34" customWidth="1" style="24" min="6" max="6"/>
    <col width="40" customWidth="1" style="24" min="7" max="8"/>
    <col width="42" customWidth="1" style="24" min="9" max="9"/>
    <col width="13" customWidth="1" style="24" min="10" max="10"/>
    <col width="6" customWidth="1" style="24" min="11" max="11"/>
    <col width="30" customWidth="1" style="24" min="12" max="12"/>
    <col width="14" customWidth="1" style="25" min="13" max="13"/>
    <col width="14" customWidth="1" style="25" min="14" max="14"/>
    <col width="22" customWidth="1" style="25" min="15" max="15"/>
  </cols>
  <sheetData>
    <row r="1" ht="17.35" customHeight="1" s="25">
      <c r="A1" s="26" t="inlineStr">
        <is>
          <t>Daily Plan — one card per build day</t>
        </is>
      </c>
    </row>
    <row r="2" ht="15" customHeight="1" s="25">
      <c r="A2" s="27" t="inlineStr">
        <is>
          <t>One card, one day, one merge. If a card cannot be finished and verified in a day it was scoped wrong — split it before starting. Mark Carried rather than extending a card silently.</t>
        </is>
      </c>
    </row>
    <row r="4" ht="30" customHeight="1" s="25">
      <c r="A4" s="35" t="inlineStr">
        <is>
          <t>Day</t>
        </is>
      </c>
      <c r="B4" s="35" t="inlineStr">
        <is>
          <t>Date</t>
        </is>
      </c>
      <c r="C4" s="35" t="inlineStr">
        <is>
          <t>Ph</t>
        </is>
      </c>
      <c r="D4" s="35" t="inlineStr">
        <is>
          <t>Phase</t>
        </is>
      </c>
      <c r="E4" s="35" t="inlineStr">
        <is>
          <t>Epic</t>
        </is>
      </c>
      <c r="F4" s="35" t="inlineStr">
        <is>
          <t>Task</t>
        </is>
      </c>
      <c r="G4" s="35" t="inlineStr">
        <is>
          <t>Deliverable</t>
        </is>
      </c>
      <c r="H4" s="35" t="inlineStr">
        <is>
          <t>Acceptance criteria</t>
        </is>
      </c>
      <c r="I4" s="35" t="inlineStr">
        <is>
          <t>Security check</t>
        </is>
      </c>
      <c r="J4" s="35" t="inlineStr">
        <is>
          <t>Status</t>
        </is>
      </c>
      <c r="K4" s="35" t="inlineStr">
        <is>
          <t>Hrs</t>
        </is>
      </c>
      <c r="L4" s="35" t="inlineStr">
        <is>
          <t>Notes</t>
        </is>
      </c>
      <c r="M4" s="24" t="inlineStr">
        <is>
          <t>Card (prompt)</t>
        </is>
      </c>
      <c r="N4" s="24" t="inlineStr">
        <is>
          <t>Log</t>
        </is>
      </c>
      <c r="O4" s="24" t="inlineStr">
        <is>
          <t>Est. Duration (AI session)</t>
        </is>
      </c>
    </row>
    <row r="5" ht="23.85" customHeight="1" s="25">
      <c r="A5" s="36" t="n">
        <v>1</v>
      </c>
      <c r="B5" s="38">
        <f>WORKDAY(Config!$B$5,ROUND((A5-1)*5/Config!$B$6,0))</f>
        <v/>
      </c>
      <c r="C5" s="36" t="n">
        <v>0</v>
      </c>
      <c r="D5" s="36" t="inlineStr">
        <is>
          <t>Foundations &amp; Security Baseline</t>
        </is>
      </c>
      <c r="E5" s="36" t="inlineStr">
        <is>
          <t>Toolchain</t>
        </is>
      </c>
      <c r="F5" s="37" t="inlineStr">
        <is>
          <t>Initialize monorepo</t>
        </is>
      </c>
      <c r="G5" s="36" t="inlineStr">
        <is>
          <t>pnpm workspaces + Turborepo; apps/ and packages/ per ADR-001</t>
        </is>
      </c>
      <c r="H5" s="36" t="inlineStr">
        <is>
          <t>`pnpm install` succeeds; workspace graph resolves</t>
        </is>
      </c>
      <c r="I5" s="36" t="inlineStr">
        <is>
          <t>No secrets in initial commit; .gitignore covers .env</t>
        </is>
      </c>
      <c r="J5" s="43" t="inlineStr">
        <is>
          <t>Not started</t>
        </is>
      </c>
      <c r="K5" s="43" t="n"/>
      <c r="L5" s="43" t="n"/>
      <c r="M5" s="44" t="inlineStr">
        <is>
          <t>D001</t>
        </is>
      </c>
      <c r="N5" s="44" t="inlineStr">
        <is>
          <t>D001</t>
        </is>
      </c>
      <c r="O5" s="24" t="inlineStr">
        <is>
          <t>1.0h</t>
        </is>
      </c>
    </row>
    <row r="6" ht="23.85" customHeight="1" s="25">
      <c r="A6" s="36" t="n">
        <v>2</v>
      </c>
      <c r="B6" s="38">
        <f>WORKDAY(Config!$B$5,ROUND((A6-1)*5/Config!$B$6,0))</f>
        <v/>
      </c>
      <c r="C6" s="36" t="n">
        <v>0</v>
      </c>
      <c r="D6" s="36" t="inlineStr">
        <is>
          <t>Foundations &amp; Security Baseline</t>
        </is>
      </c>
      <c r="E6" s="36" t="inlineStr">
        <is>
          <t>Toolchain</t>
        </is>
      </c>
      <c r="F6" s="37" t="inlineStr">
        <is>
          <t>TypeScript strict configuration</t>
        </is>
      </c>
      <c r="G6" s="36" t="inlineStr">
        <is>
          <t>Shared tsconfig package, strict mode, no implicit any</t>
        </is>
      </c>
      <c r="H6" s="36" t="inlineStr">
        <is>
          <t>`tsc --noEmit` passes across all packages</t>
        </is>
      </c>
      <c r="I6" s="36" t="inlineStr">
        <is>
          <t>Strict null checks reduce a class of runtime defects</t>
        </is>
      </c>
      <c r="J6" s="43" t="inlineStr">
        <is>
          <t>Not started</t>
        </is>
      </c>
      <c r="K6" s="43" t="n"/>
      <c r="L6" s="43" t="n"/>
      <c r="M6" s="44" t="inlineStr">
        <is>
          <t>D002</t>
        </is>
      </c>
      <c r="N6" s="44" t="inlineStr">
        <is>
          <t>D002</t>
        </is>
      </c>
      <c r="O6" s="24" t="inlineStr">
        <is>
          <t>1.0h</t>
        </is>
      </c>
    </row>
    <row r="7" ht="23.85" customHeight="1" s="25">
      <c r="A7" s="36" t="n">
        <v>3</v>
      </c>
      <c r="B7" s="38">
        <f>WORKDAY(Config!$B$5,ROUND((A7-1)*5/Config!$B$6,0))</f>
        <v/>
      </c>
      <c r="C7" s="36" t="n">
        <v>0</v>
      </c>
      <c r="D7" s="36" t="inlineStr">
        <is>
          <t>Foundations &amp; Security Baseline</t>
        </is>
      </c>
      <c r="E7" s="36" t="inlineStr">
        <is>
          <t>Toolchain</t>
        </is>
      </c>
      <c r="F7" s="37" t="inlineStr">
        <is>
          <t>Lint and format rules</t>
        </is>
      </c>
      <c r="G7" s="36" t="inlineStr">
        <is>
          <t>ESLint + Prettier; custom rule banning raw SQL outside packages/db</t>
        </is>
      </c>
      <c r="H7" s="36" t="inlineStr">
        <is>
          <t>Lint fails on a deliberate raw-SQL violation in apps/api</t>
        </is>
      </c>
      <c r="I7" s="36" t="inlineStr">
        <is>
          <t>Rule enforces the dialect + tenant-scoping boundary</t>
        </is>
      </c>
      <c r="J7" s="43" t="inlineStr">
        <is>
          <t>Not started</t>
        </is>
      </c>
      <c r="K7" s="43" t="n"/>
      <c r="L7" s="43" t="n"/>
      <c r="M7" s="44" t="inlineStr">
        <is>
          <t>D003</t>
        </is>
      </c>
      <c r="N7" s="44" t="inlineStr">
        <is>
          <t>D003</t>
        </is>
      </c>
      <c r="O7" s="24" t="inlineStr">
        <is>
          <t>1.0h</t>
        </is>
      </c>
    </row>
    <row r="8" ht="23.85" customHeight="1" s="25">
      <c r="A8" s="36" t="n">
        <v>4</v>
      </c>
      <c r="B8" s="38">
        <f>WORKDAY(Config!$B$5,ROUND((A8-1)*5/Config!$B$6,0))</f>
        <v/>
      </c>
      <c r="C8" s="36" t="n">
        <v>0</v>
      </c>
      <c r="D8" s="36" t="inlineStr">
        <is>
          <t>Foundations &amp; Security Baseline</t>
        </is>
      </c>
      <c r="E8" s="36" t="inlineStr">
        <is>
          <t>Toolchain</t>
        </is>
      </c>
      <c r="F8" s="37" t="inlineStr">
        <is>
          <t>Test harness</t>
        </is>
      </c>
      <c r="G8" s="36" t="inlineStr">
        <is>
          <t>Vitest configured; coverage thresholds set per 10_secure_sdlc</t>
        </is>
      </c>
      <c r="H8" s="36" t="inlineStr">
        <is>
          <t>`pnpm test` runs; coverage gate fails below threshold</t>
        </is>
      </c>
      <c r="I8" s="36" t="inlineStr">
        <is>
          <t>Domain package threshold set to 95%</t>
        </is>
      </c>
      <c r="J8" s="43" t="inlineStr">
        <is>
          <t>Not started</t>
        </is>
      </c>
      <c r="K8" s="43" t="n"/>
      <c r="L8" s="43" t="n"/>
      <c r="M8" s="44" t="inlineStr">
        <is>
          <t>D004</t>
        </is>
      </c>
      <c r="N8" s="44" t="inlineStr">
        <is>
          <t>D004</t>
        </is>
      </c>
      <c r="O8" s="24" t="inlineStr">
        <is>
          <t>1.0h</t>
        </is>
      </c>
    </row>
    <row r="9" ht="23.85" customHeight="1" s="25">
      <c r="A9" s="36" t="n">
        <v>5</v>
      </c>
      <c r="B9" s="38">
        <f>WORKDAY(Config!$B$5,ROUND((A9-1)*5/Config!$B$6,0))</f>
        <v/>
      </c>
      <c r="C9" s="36" t="n">
        <v>0</v>
      </c>
      <c r="D9" s="36" t="inlineStr">
        <is>
          <t>Foundations &amp; Security Baseline</t>
        </is>
      </c>
      <c r="E9" s="36" t="inlineStr">
        <is>
          <t>CI/CD</t>
        </is>
      </c>
      <c r="F9" s="37" t="inlineStr">
        <is>
          <t>CI pipeline skeleton</t>
        </is>
      </c>
      <c r="G9" s="36" t="inlineStr">
        <is>
          <t>Workflow: install, lint, typecheck, test on every PR</t>
        </is>
      </c>
      <c r="H9" s="36" t="inlineStr">
        <is>
          <t>Pipeline green on an empty app</t>
        </is>
      </c>
      <c r="I9" s="36" t="inlineStr">
        <is>
          <t>Frozen lockfile prevents dependency substitution</t>
        </is>
      </c>
      <c r="J9" s="43" t="inlineStr">
        <is>
          <t>Not started</t>
        </is>
      </c>
      <c r="K9" s="43" t="n"/>
      <c r="L9" s="43" t="n"/>
      <c r="M9" s="44" t="inlineStr">
        <is>
          <t>D005</t>
        </is>
      </c>
      <c r="N9" s="44" t="inlineStr">
        <is>
          <t>D005</t>
        </is>
      </c>
      <c r="O9" s="24" t="inlineStr">
        <is>
          <t>1.0h</t>
        </is>
      </c>
    </row>
    <row r="10" ht="23.85" customHeight="1" s="25">
      <c r="A10" s="36" t="n">
        <v>6</v>
      </c>
      <c r="B10" s="38">
        <f>WORKDAY(Config!$B$5,ROUND((A10-1)*5/Config!$B$6,0))</f>
        <v/>
      </c>
      <c r="C10" s="36" t="n">
        <v>0</v>
      </c>
      <c r="D10" s="36" t="inlineStr">
        <is>
          <t>Foundations &amp; Security Baseline</t>
        </is>
      </c>
      <c r="E10" s="36" t="inlineStr">
        <is>
          <t>CI/CD</t>
        </is>
      </c>
      <c r="F10" s="37" t="inlineStr">
        <is>
          <t>Secret scanning</t>
        </is>
      </c>
      <c r="G10" s="36" t="inlineStr">
        <is>
          <t>gitleaks in pre-commit hook and CI</t>
        </is>
      </c>
      <c r="H10" s="36" t="inlineStr">
        <is>
          <t>Planted test secret fails the build</t>
        </is>
      </c>
      <c r="I10" s="36" t="inlineStr">
        <is>
          <t>Any finding fails build; rotation procedure documented</t>
        </is>
      </c>
      <c r="J10" s="43" t="inlineStr">
        <is>
          <t>Not started</t>
        </is>
      </c>
      <c r="K10" s="43" t="n"/>
      <c r="L10" s="43" t="n"/>
      <c r="M10" s="44" t="inlineStr">
        <is>
          <t>D006</t>
        </is>
      </c>
      <c r="N10" s="44" t="inlineStr">
        <is>
          <t>D006</t>
        </is>
      </c>
      <c r="O10" s="24" t="inlineStr">
        <is>
          <t>1.0h</t>
        </is>
      </c>
    </row>
    <row r="11" ht="23.85" customHeight="1" s="25">
      <c r="A11" s="36" t="n">
        <v>7</v>
      </c>
      <c r="B11" s="38">
        <f>WORKDAY(Config!$B$5,ROUND((A11-1)*5/Config!$B$6,0))</f>
        <v/>
      </c>
      <c r="C11" s="36" t="n">
        <v>0</v>
      </c>
      <c r="D11" s="36" t="inlineStr">
        <is>
          <t>Foundations &amp; Security Baseline</t>
        </is>
      </c>
      <c r="E11" s="36" t="inlineStr">
        <is>
          <t>CI/CD</t>
        </is>
      </c>
      <c r="F11" s="37" t="inlineStr">
        <is>
          <t>Dependency scanning and SBOM</t>
        </is>
      </c>
      <c r="G11" s="36" t="inlineStr">
        <is>
          <t>Scanner in CI; SBOM generated and retained as artifact</t>
        </is>
      </c>
      <c r="H11" s="36" t="inlineStr">
        <is>
          <t>Build fails on a high/critical with a fix available</t>
        </is>
      </c>
      <c r="I11" s="36" t="inlineStr">
        <is>
          <t>SBOM is the dependency-inventory evidence for control ID</t>
        </is>
      </c>
      <c r="J11" s="43" t="inlineStr">
        <is>
          <t>Not started</t>
        </is>
      </c>
      <c r="K11" s="43" t="n"/>
      <c r="L11" s="43" t="n"/>
      <c r="M11" s="44" t="inlineStr">
        <is>
          <t>D007</t>
        </is>
      </c>
      <c r="N11" s="44" t="inlineStr">
        <is>
          <t>D007</t>
        </is>
      </c>
      <c r="O11" s="24" t="inlineStr">
        <is>
          <t>1.0h</t>
        </is>
      </c>
    </row>
    <row r="12" ht="15" customHeight="1" s="25">
      <c r="A12" s="36" t="n">
        <v>8</v>
      </c>
      <c r="B12" s="38">
        <f>WORKDAY(Config!$B$5,ROUND((A12-1)*5/Config!$B$6,0))</f>
        <v/>
      </c>
      <c r="C12" s="36" t="n">
        <v>0</v>
      </c>
      <c r="D12" s="36" t="inlineStr">
        <is>
          <t>Foundations &amp; Security Baseline</t>
        </is>
      </c>
      <c r="E12" s="36" t="inlineStr">
        <is>
          <t>CI/CD</t>
        </is>
      </c>
      <c r="F12" s="37" t="inlineStr">
        <is>
          <t>SAST</t>
        </is>
      </c>
      <c r="G12" s="36" t="inlineStr">
        <is>
          <t>CodeQL or Semgrep in CI</t>
        </is>
      </c>
      <c r="H12" s="36" t="inlineStr">
        <is>
          <t>Build fails on high/critical finding</t>
        </is>
      </c>
      <c r="I12" s="36" t="inlineStr">
        <is>
          <t>Static analysis before any application code exists</t>
        </is>
      </c>
      <c r="J12" s="43" t="inlineStr">
        <is>
          <t>Not started</t>
        </is>
      </c>
      <c r="K12" s="43" t="n"/>
      <c r="L12" s="43" t="n"/>
      <c r="M12" s="44" t="inlineStr">
        <is>
          <t>D008</t>
        </is>
      </c>
      <c r="N12" s="44" t="inlineStr">
        <is>
          <t>D008</t>
        </is>
      </c>
      <c r="O12" s="24" t="inlineStr">
        <is>
          <t>1.0h</t>
        </is>
      </c>
    </row>
    <row r="13" ht="23.85" customHeight="1" s="25">
      <c r="A13" s="36" t="n">
        <v>9</v>
      </c>
      <c r="B13" s="38">
        <f>WORKDAY(Config!$B$5,ROUND((A13-1)*5/Config!$B$6,0))</f>
        <v/>
      </c>
      <c r="C13" s="36" t="n">
        <v>0</v>
      </c>
      <c r="D13" s="36" t="inlineStr">
        <is>
          <t>Foundations &amp; Security Baseline</t>
        </is>
      </c>
      <c r="E13" s="36" t="inlineStr">
        <is>
          <t>CI/CD</t>
        </is>
      </c>
      <c r="F13" s="37" t="inlineStr">
        <is>
          <t>Branch protection and PR template</t>
        </is>
      </c>
      <c r="G13" s="36" t="inlineStr">
        <is>
          <t>Protection rules; PR template with self-review checklist; conventional commits</t>
        </is>
      </c>
      <c r="H13" s="36" t="inlineStr">
        <is>
          <t>Direct push to main rejected</t>
        </is>
      </c>
      <c r="I13" s="36" t="inlineStr">
        <is>
          <t>Self-review checklist is the CC8 change-management evidence</t>
        </is>
      </c>
      <c r="J13" s="43" t="inlineStr">
        <is>
          <t>Not started</t>
        </is>
      </c>
      <c r="K13" s="43" t="n"/>
      <c r="L13" s="43" t="n"/>
      <c r="M13" s="44" t="inlineStr">
        <is>
          <t>D009</t>
        </is>
      </c>
      <c r="N13" s="44" t="inlineStr">
        <is>
          <t>D009</t>
        </is>
      </c>
      <c r="O13" s="24" t="inlineStr">
        <is>
          <t>1.0h</t>
        </is>
      </c>
    </row>
    <row r="14" ht="23.85" customHeight="1" s="25">
      <c r="A14" s="36" t="n">
        <v>10</v>
      </c>
      <c r="B14" s="38">
        <f>WORKDAY(Config!$B$5,ROUND((A14-1)*5/Config!$B$6,0))</f>
        <v/>
      </c>
      <c r="C14" s="36" t="n">
        <v>0</v>
      </c>
      <c r="D14" s="36" t="inlineStr">
        <is>
          <t>Foundations &amp; Security Baseline</t>
        </is>
      </c>
      <c r="E14" s="36" t="inlineStr">
        <is>
          <t>Security foundation</t>
        </is>
      </c>
      <c r="F14" s="37" t="inlineStr">
        <is>
          <t>Native AuthProvider implementation</t>
        </is>
      </c>
      <c r="G14" s="36" t="inlineStr">
        <is>
          <t>AuthProvider interface + NativeAuthProvider (Argon2id, sessions, rate limiting) per ADR-002; Auth0 deferred, interface keeps swap-in possible later</t>
        </is>
      </c>
      <c r="H14" s="36" t="inlineStr">
        <is>
          <t>Register/login/authenticated-route/logout/reset-initiation all pass against NativeAuthProvider; test proves no module imports NativeAuthProvider directly except via the interface</t>
        </is>
      </c>
      <c r="I14" s="36" t="inlineStr">
        <is>
          <t>Argon2id hashing, no plaintext/bcrypt; login+reset rate-limited from this card; sessions revocable server-side; see docs/adr/ADR-002-authentication-provider.md</t>
        </is>
      </c>
      <c r="J14" s="43" t="inlineStr">
        <is>
          <t>Not started</t>
        </is>
      </c>
      <c r="K14" s="43" t="n"/>
      <c r="L14" s="43" t="inlineStr">
        <is>
          <t>Revised per ADR-002 (2026-09-07): was 'Identity provider spike / OIDC PKCE'. Founder decision: native auth now, Auth0-ready interface, Auth0 wired in later.</t>
        </is>
      </c>
      <c r="M14" s="44" t="inlineStr">
        <is>
          <t>D010</t>
        </is>
      </c>
      <c r="N14" s="44" t="inlineStr">
        <is>
          <t>D010</t>
        </is>
      </c>
      <c r="O14" s="24" t="inlineStr">
        <is>
          <t>4.0h</t>
        </is>
      </c>
    </row>
    <row r="15" ht="23.85" customHeight="1" s="25">
      <c r="A15" s="36" t="n">
        <v>11</v>
      </c>
      <c r="B15" s="38">
        <f>WORKDAY(Config!$B$5,ROUND((A15-1)*5/Config!$B$6,0))</f>
        <v/>
      </c>
      <c r="C15" s="36" t="n">
        <v>0</v>
      </c>
      <c r="D15" s="36" t="inlineStr">
        <is>
          <t>Foundations &amp; Security Baseline</t>
        </is>
      </c>
      <c r="E15" s="36" t="inlineStr">
        <is>
          <t>Security foundation</t>
        </is>
      </c>
      <c r="F15" s="37" t="inlineStr">
        <is>
          <t>Security policy set</t>
        </is>
      </c>
      <c r="G15" s="36" t="inlineStr">
        <is>
          <t>/docs/compliance/policies drafted from GRC templates</t>
        </is>
      </c>
      <c r="H15" s="36" t="inlineStr">
        <is>
          <t>Six core policies committed and reviewed via PR</t>
        </is>
      </c>
      <c r="I15" s="36" t="inlineStr">
        <is>
          <t>Policies in version control give change history and effective dates</t>
        </is>
      </c>
      <c r="J15" s="43" t="inlineStr">
        <is>
          <t>Not started</t>
        </is>
      </c>
      <c r="K15" s="43" t="n"/>
      <c r="L15" s="43" t="n"/>
      <c r="M15" s="44" t="inlineStr">
        <is>
          <t>D011</t>
        </is>
      </c>
      <c r="N15" s="44" t="inlineStr">
        <is>
          <t>D011</t>
        </is>
      </c>
      <c r="O15" s="24" t="inlineStr">
        <is>
          <t>1.0h</t>
        </is>
      </c>
    </row>
    <row r="16" ht="23.85" customHeight="1" s="25">
      <c r="A16" s="45" t="n">
        <v>12</v>
      </c>
      <c r="B16" s="46">
        <f>WORKDAY(Config!$B$5,ROUND((A16-1)*5/Config!$B$6,0))</f>
        <v/>
      </c>
      <c r="C16" s="45" t="n">
        <v>0</v>
      </c>
      <c r="D16" s="45" t="inlineStr">
        <is>
          <t>Foundations &amp; Security Baseline</t>
        </is>
      </c>
      <c r="E16" s="45" t="inlineStr">
        <is>
          <t>Security foundation</t>
        </is>
      </c>
      <c r="F16" s="47" t="inlineStr">
        <is>
          <t>Threat model, IR plan, subprocessors — GATE G0</t>
        </is>
      </c>
      <c r="G16" s="45" t="inlineStr">
        <is>
          <t>Threat model reviewed; incident-response.md; subprocessors.md</t>
        </is>
      </c>
      <c r="H16" s="45" t="inlineStr">
        <is>
          <t>G0 record filed; all CI gates green on empty app</t>
        </is>
      </c>
      <c r="I16" s="45" t="inlineStr">
        <is>
          <t>Baseline threat model recorded before any feature exists</t>
        </is>
      </c>
      <c r="J16" s="43" t="inlineStr">
        <is>
          <t>Not started</t>
        </is>
      </c>
      <c r="K16" s="43" t="n"/>
      <c r="L16" s="43" t="n"/>
      <c r="M16" s="44" t="inlineStr">
        <is>
          <t>D012</t>
        </is>
      </c>
      <c r="N16" s="44" t="inlineStr">
        <is>
          <t>D012</t>
        </is>
      </c>
      <c r="O16" s="24" t="inlineStr">
        <is>
          <t>2.5h</t>
        </is>
      </c>
    </row>
    <row r="17" ht="23.85" customHeight="1" s="25">
      <c r="A17" s="36" t="n">
        <v>13</v>
      </c>
      <c r="B17" s="38">
        <f>WORKDAY(Config!$B$5,ROUND((A17-1)*5/Config!$B$6,0))</f>
        <v/>
      </c>
      <c r="C17" s="36" t="n">
        <v>1</v>
      </c>
      <c r="D17" s="36" t="inlineStr">
        <is>
          <t>Domain Model &amp; Database</t>
        </is>
      </c>
      <c r="E17" s="36" t="inlineStr">
        <is>
          <t>Database foundation</t>
        </is>
      </c>
      <c r="F17" s="37" t="inlineStr">
        <is>
          <t>SQLite connection layer</t>
        </is>
      </c>
      <c r="G17" s="36" t="inlineStr">
        <is>
          <t>Drizzle + SQLite; WAL, foreign_keys ON, busy_timeout set</t>
        </is>
      </c>
      <c r="H17" s="36" t="inlineStr">
        <is>
          <t>PRAGMA values asserted by a startup test</t>
        </is>
      </c>
      <c r="I17" s="36" t="inlineStr">
        <is>
          <t>foreign_keys ON — off by default in SQLite, a silent divergence from PG</t>
        </is>
      </c>
      <c r="J17" s="43" t="inlineStr">
        <is>
          <t>Not started</t>
        </is>
      </c>
      <c r="K17" s="43" t="n"/>
      <c r="L17" s="43" t="n"/>
      <c r="M17" s="44" t="inlineStr">
        <is>
          <t>D013</t>
        </is>
      </c>
      <c r="N17" s="44" t="inlineStr">
        <is>
          <t>D013</t>
        </is>
      </c>
      <c r="O17" s="24" t="inlineStr">
        <is>
          <t>2.0h</t>
        </is>
      </c>
    </row>
    <row r="18" ht="15" customHeight="1" s="25">
      <c r="A18" s="36" t="n">
        <v>14</v>
      </c>
      <c r="B18" s="38">
        <f>WORKDAY(Config!$B$5,ROUND((A18-1)*5/Config!$B$6,0))</f>
        <v/>
      </c>
      <c r="C18" s="36" t="n">
        <v>1</v>
      </c>
      <c r="D18" s="36" t="inlineStr">
        <is>
          <t>Domain Model &amp; Database</t>
        </is>
      </c>
      <c r="E18" s="36" t="inlineStr">
        <is>
          <t>Database foundation</t>
        </is>
      </c>
      <c r="F18" s="37" t="inlineStr">
        <is>
          <t>PostgreSQL connection and CI matrix</t>
        </is>
      </c>
      <c r="G18" s="36" t="inlineStr">
        <is>
          <t>PG config; CI runs the suite against both dialects</t>
        </is>
      </c>
      <c r="H18" s="36" t="inlineStr">
        <is>
          <t>Both dialect jobs green</t>
        </is>
      </c>
      <c r="I18" s="36" t="inlineStr">
        <is>
          <t>Portability failure is caught the day it is written</t>
        </is>
      </c>
      <c r="J18" s="43" t="inlineStr">
        <is>
          <t>Not started</t>
        </is>
      </c>
      <c r="K18" s="43" t="n"/>
      <c r="L18" s="43" t="n"/>
      <c r="M18" s="44" t="inlineStr">
        <is>
          <t>D014</t>
        </is>
      </c>
      <c r="N18" s="44" t="inlineStr">
        <is>
          <t>D014</t>
        </is>
      </c>
      <c r="O18" s="24" t="inlineStr">
        <is>
          <t>3.0h</t>
        </is>
      </c>
    </row>
    <row r="19" ht="23.85" customHeight="1" s="25">
      <c r="A19" s="36" t="n">
        <v>15</v>
      </c>
      <c r="B19" s="38">
        <f>WORKDAY(Config!$B$5,ROUND((A19-1)*5/Config!$B$6,0))</f>
        <v/>
      </c>
      <c r="C19" s="36" t="n">
        <v>1</v>
      </c>
      <c r="D19" s="36" t="inlineStr">
        <is>
          <t>Domain Model &amp; Database</t>
        </is>
      </c>
      <c r="E19" s="36" t="inlineStr">
        <is>
          <t>Database foundation</t>
        </is>
      </c>
      <c r="F19" s="37" t="inlineStr">
        <is>
          <t>Migration tooling</t>
        </is>
      </c>
      <c r="G19" s="36" t="inlineStr">
        <is>
          <t>drizzle-kit; forward-only policy; both-dialect migration check in CI</t>
        </is>
      </c>
      <c r="H19" s="36" t="inlineStr">
        <is>
          <t>A PG-incompatible migration fails CI</t>
        </is>
      </c>
      <c r="I19" s="36" t="inlineStr">
        <is>
          <t>Migration review is part of the security review triggers</t>
        </is>
      </c>
      <c r="J19" s="43" t="inlineStr">
        <is>
          <t>Not started</t>
        </is>
      </c>
      <c r="K19" s="43" t="n"/>
      <c r="L19" s="43" t="n"/>
      <c r="M19" s="44" t="inlineStr">
        <is>
          <t>D015</t>
        </is>
      </c>
      <c r="N19" s="44" t="inlineStr">
        <is>
          <t>D015</t>
        </is>
      </c>
      <c r="O19" s="24" t="inlineStr">
        <is>
          <t>3.0h</t>
        </is>
      </c>
    </row>
    <row r="20" ht="23.85" customHeight="1" s="25">
      <c r="A20" s="36" t="n">
        <v>16</v>
      </c>
      <c r="B20" s="38">
        <f>WORKDAY(Config!$B$5,ROUND((A20-1)*5/Config!$B$6,0))</f>
        <v/>
      </c>
      <c r="C20" s="36" t="n">
        <v>1</v>
      </c>
      <c r="D20" s="36" t="inlineStr">
        <is>
          <t>Domain Model &amp; Database</t>
        </is>
      </c>
      <c r="E20" s="36" t="inlineStr">
        <is>
          <t>Database foundation</t>
        </is>
      </c>
      <c r="F20" s="37" t="inlineStr">
        <is>
          <t>Core utilities</t>
        </is>
      </c>
      <c r="G20" s="36" t="inlineStr">
        <is>
          <t>UUIDv7 generator; Money minor-unit value object; UTC time helpers</t>
        </is>
      </c>
      <c r="H20" s="36" t="inlineStr">
        <is>
          <t>Property tests: no float money; all timestamps UTC</t>
        </is>
      </c>
      <c r="I20" s="36" t="inlineStr">
        <is>
          <t>Money as integer minor units — floats are unacceptable for money</t>
        </is>
      </c>
      <c r="J20" s="43" t="inlineStr">
        <is>
          <t>Not started</t>
        </is>
      </c>
      <c r="K20" s="43" t="n"/>
      <c r="L20" s="43" t="n"/>
      <c r="M20" s="44" t="inlineStr">
        <is>
          <t>D016</t>
        </is>
      </c>
      <c r="N20" s="44" t="inlineStr">
        <is>
          <t>D016</t>
        </is>
      </c>
      <c r="O20" s="24" t="inlineStr">
        <is>
          <t>2.0h</t>
        </is>
      </c>
    </row>
    <row r="21" ht="23.85" customHeight="1" s="25">
      <c r="A21" s="36" t="n">
        <v>17</v>
      </c>
      <c r="B21" s="38">
        <f>WORKDAY(Config!$B$5,ROUND((A21-1)*5/Config!$B$6,0))</f>
        <v/>
      </c>
      <c r="C21" s="36" t="n">
        <v>1</v>
      </c>
      <c r="D21" s="36" t="inlineStr">
        <is>
          <t>Domain Model &amp; Database</t>
        </is>
      </c>
      <c r="E21" s="36" t="inlineStr">
        <is>
          <t>Tenancy</t>
        </is>
      </c>
      <c r="F21" s="37" t="inlineStr">
        <is>
          <t>TenantContext and repository base</t>
        </is>
      </c>
      <c r="G21" s="36" t="inlineStr">
        <is>
          <t>TenantContext type; base class injecting merchant_id predicate</t>
        </is>
      </c>
      <c r="H21" s="36" t="inlineStr">
        <is>
          <t>Repository method without ctx is a compile error</t>
        </is>
      </c>
      <c r="I21" s="36" t="inlineStr">
        <is>
          <t>Control #1 — tenant isolation, layer 2 (type system)</t>
        </is>
      </c>
      <c r="J21" s="43" t="inlineStr">
        <is>
          <t>Not started</t>
        </is>
      </c>
      <c r="K21" s="43" t="n"/>
      <c r="L21" s="43" t="n"/>
      <c r="M21" s="44" t="inlineStr">
        <is>
          <t>D017</t>
        </is>
      </c>
      <c r="N21" s="44" t="inlineStr">
        <is>
          <t>D017</t>
        </is>
      </c>
      <c r="O21" s="24" t="inlineStr">
        <is>
          <t>2.0h</t>
        </is>
      </c>
    </row>
    <row r="22" ht="15" customHeight="1" s="25">
      <c r="A22" s="36" t="n">
        <v>18</v>
      </c>
      <c r="B22" s="38">
        <f>WORKDAY(Config!$B$5,ROUND((A22-1)*5/Config!$B$6,0))</f>
        <v/>
      </c>
      <c r="C22" s="36" t="n">
        <v>1</v>
      </c>
      <c r="D22" s="36" t="inlineStr">
        <is>
          <t>Domain Model &amp; Database</t>
        </is>
      </c>
      <c r="E22" s="36" t="inlineStr">
        <is>
          <t>Tenancy</t>
        </is>
      </c>
      <c r="F22" s="37" t="inlineStr">
        <is>
          <t>Schema: tenancy tables</t>
        </is>
      </c>
      <c r="G22" s="36" t="inlineStr">
        <is>
          <t>merchants, users, merchant_users, locations</t>
        </is>
      </c>
      <c r="H22" s="36" t="inlineStr">
        <is>
          <t>Migrations apply on both dialects</t>
        </is>
      </c>
      <c r="I22" s="36" t="inlineStr">
        <is>
          <t>No password column on users — auth is delegated</t>
        </is>
      </c>
      <c r="J22" s="43" t="inlineStr">
        <is>
          <t>Not started</t>
        </is>
      </c>
      <c r="K22" s="43" t="n"/>
      <c r="L22" s="43" t="n"/>
      <c r="M22" s="44" t="inlineStr">
        <is>
          <t>D018</t>
        </is>
      </c>
      <c r="N22" s="44" t="inlineStr">
        <is>
          <t>D018</t>
        </is>
      </c>
      <c r="O22" s="24" t="inlineStr">
        <is>
          <t>3.0h</t>
        </is>
      </c>
    </row>
    <row r="23" ht="23.85" customHeight="1" s="25">
      <c r="A23" s="36" t="n">
        <v>19</v>
      </c>
      <c r="B23" s="38">
        <f>WORKDAY(Config!$B$5,ROUND((A23-1)*5/Config!$B$6,0))</f>
        <v/>
      </c>
      <c r="C23" s="36" t="n">
        <v>1</v>
      </c>
      <c r="D23" s="36" t="inlineStr">
        <is>
          <t>Domain Model &amp; Database</t>
        </is>
      </c>
      <c r="E23" s="36" t="inlineStr">
        <is>
          <t>Tenancy</t>
        </is>
      </c>
      <c r="F23" s="37" t="inlineStr">
        <is>
          <t>Repository: merchants and locations</t>
        </is>
      </c>
      <c r="G23" s="36" t="inlineStr">
        <is>
          <t>Scoped repository methods</t>
        </is>
      </c>
      <c r="H23" s="36" t="inlineStr">
        <is>
          <t>CRUD works; scoping predicate present in every query</t>
        </is>
      </c>
      <c r="I23" s="36" t="inlineStr">
        <is>
          <t>Layer 3 — runtime scope injection</t>
        </is>
      </c>
      <c r="J23" s="43" t="inlineStr">
        <is>
          <t>Not started</t>
        </is>
      </c>
      <c r="K23" s="43" t="n"/>
      <c r="L23" s="43" t="n"/>
      <c r="M23" s="44" t="inlineStr">
        <is>
          <t>D019</t>
        </is>
      </c>
      <c r="N23" s="44" t="inlineStr">
        <is>
          <t>D019</t>
        </is>
      </c>
      <c r="O23" s="24" t="inlineStr">
        <is>
          <t>2.0h</t>
        </is>
      </c>
    </row>
    <row r="24" ht="23.85" customHeight="1" s="25">
      <c r="A24" s="36" t="n">
        <v>20</v>
      </c>
      <c r="B24" s="38">
        <f>WORKDAY(Config!$B$5,ROUND((A24-1)*5/Config!$B$6,0))</f>
        <v/>
      </c>
      <c r="C24" s="36" t="n">
        <v>1</v>
      </c>
      <c r="D24" s="36" t="inlineStr">
        <is>
          <t>Domain Model &amp; Database</t>
        </is>
      </c>
      <c r="E24" s="36" t="inlineStr">
        <is>
          <t>Tenancy</t>
        </is>
      </c>
      <c r="F24" s="37" t="inlineStr">
        <is>
          <t>Repository: users and merchant_users</t>
        </is>
      </c>
      <c r="G24" s="36" t="inlineStr">
        <is>
          <t>Scoped repository + role assignment</t>
        </is>
      </c>
      <c r="H24" s="36" t="inlineStr">
        <is>
          <t>Role assignment restricted to OWNER</t>
        </is>
      </c>
      <c r="I24" s="36" t="inlineStr">
        <is>
          <t>Role changes are audit-logged and notified</t>
        </is>
      </c>
      <c r="J24" s="43" t="inlineStr">
        <is>
          <t>Not started</t>
        </is>
      </c>
      <c r="K24" s="43" t="n"/>
      <c r="L24" s="43" t="n"/>
      <c r="M24" s="44" t="inlineStr">
        <is>
          <t>D020</t>
        </is>
      </c>
      <c r="N24" s="44" t="inlineStr">
        <is>
          <t>D020</t>
        </is>
      </c>
      <c r="O24" s="24" t="inlineStr">
        <is>
          <t>2.0h</t>
        </is>
      </c>
    </row>
    <row r="25" ht="23.85" customHeight="1" s="25">
      <c r="A25" s="36" t="n">
        <v>21</v>
      </c>
      <c r="B25" s="38">
        <f>WORKDAY(Config!$B$5,ROUND((A25-1)*5/Config!$B$6,0))</f>
        <v/>
      </c>
      <c r="C25" s="36" t="n">
        <v>1</v>
      </c>
      <c r="D25" s="36" t="inlineStr">
        <is>
          <t>Domain Model &amp; Database</t>
        </is>
      </c>
      <c r="E25" s="36" t="inlineStr">
        <is>
          <t>Tenancy</t>
        </is>
      </c>
      <c r="F25" s="37" t="inlineStr">
        <is>
          <t>Cross-tenant isolation test generator</t>
        </is>
      </c>
      <c r="G25" s="36" t="inlineStr">
        <is>
          <t>Suite generated from repository interfaces</t>
        </is>
      </c>
      <c r="H25" s="36" t="inlineStr">
        <is>
          <t>New repository method without a test fails the build</t>
        </is>
      </c>
      <c r="I25" s="36" t="inlineStr">
        <is>
          <t>THE critical control. Never waivable</t>
        </is>
      </c>
      <c r="J25" s="43" t="inlineStr">
        <is>
          <t>Not started</t>
        </is>
      </c>
      <c r="K25" s="43" t="n"/>
      <c r="L25" s="43" t="n"/>
      <c r="M25" s="44" t="inlineStr">
        <is>
          <t>D021</t>
        </is>
      </c>
      <c r="N25" s="44" t="inlineStr">
        <is>
          <t>D021</t>
        </is>
      </c>
      <c r="O25" s="24" t="inlineStr">
        <is>
          <t>2.5h</t>
        </is>
      </c>
    </row>
    <row r="26" ht="23.85" customHeight="1" s="25">
      <c r="A26" s="36" t="n">
        <v>22</v>
      </c>
      <c r="B26" s="38">
        <f>WORKDAY(Config!$B$5,ROUND((A26-1)*5/Config!$B$6,0))</f>
        <v/>
      </c>
      <c r="C26" s="36" t="n">
        <v>1</v>
      </c>
      <c r="D26" s="36" t="inlineStr">
        <is>
          <t>Domain Model &amp; Database</t>
        </is>
      </c>
      <c r="E26" s="36" t="inlineStr">
        <is>
          <t>Schema build-out</t>
        </is>
      </c>
      <c r="F26" s="37" t="inlineStr">
        <is>
          <t>Schema: catalog</t>
        </is>
      </c>
      <c r="G26" s="36" t="inlineStr">
        <is>
          <t>listings (mode discriminator, immutable), listing_variants</t>
        </is>
      </c>
      <c r="H26" s="36" t="inlineStr">
        <is>
          <t>Mode CHECK constraints reject invalid mode-specific fields</t>
        </is>
      </c>
      <c r="I26" s="36" t="inlineStr">
        <is>
          <t>Mode immutability prevents capacity-strategy confusion</t>
        </is>
      </c>
      <c r="J26" s="43" t="inlineStr">
        <is>
          <t>Not started</t>
        </is>
      </c>
      <c r="K26" s="43" t="n"/>
      <c r="L26" s="43" t="n"/>
      <c r="M26" s="44" t="inlineStr">
        <is>
          <t>D022</t>
        </is>
      </c>
      <c r="N26" s="44" t="inlineStr">
        <is>
          <t>D022</t>
        </is>
      </c>
      <c r="O26" s="24" t="inlineStr">
        <is>
          <t>2.0h</t>
        </is>
      </c>
    </row>
    <row r="27" ht="23.85" customHeight="1" s="25">
      <c r="A27" s="36" t="n">
        <v>23</v>
      </c>
      <c r="B27" s="38">
        <f>WORKDAY(Config!$B$5,ROUND((A27-1)*5/Config!$B$6,0))</f>
        <v/>
      </c>
      <c r="C27" s="36" t="n">
        <v>1</v>
      </c>
      <c r="D27" s="36" t="inlineStr">
        <is>
          <t>Domain Model &amp; Database</t>
        </is>
      </c>
      <c r="E27" s="36" t="inlineStr">
        <is>
          <t>Schema build-out</t>
        </is>
      </c>
      <c r="F27" s="37" t="inlineStr">
        <is>
          <t>Service: listings</t>
        </is>
      </c>
      <c r="G27" s="36" t="inlineStr">
        <is>
          <t>Create/update/archive with mode validation</t>
        </is>
      </c>
      <c r="H27" s="36" t="inlineStr">
        <is>
          <t>Attempt to change mode after creation is rejected</t>
        </is>
      </c>
      <c r="I27" s="36" t="inlineStr">
        <is>
          <t>Authorization asserted at service layer, not controller</t>
        </is>
      </c>
      <c r="J27" s="43" t="inlineStr">
        <is>
          <t>Not started</t>
        </is>
      </c>
      <c r="K27" s="43" t="n"/>
      <c r="L27" s="43" t="n"/>
      <c r="M27" s="44" t="inlineStr">
        <is>
          <t>D023</t>
        </is>
      </c>
      <c r="N27" s="44" t="inlineStr">
        <is>
          <t>D023</t>
        </is>
      </c>
      <c r="O27" s="24" t="inlineStr">
        <is>
          <t>2.0h</t>
        </is>
      </c>
    </row>
    <row r="28" ht="23.85" customHeight="1" s="25">
      <c r="A28" s="36" t="n">
        <v>24</v>
      </c>
      <c r="B28" s="38">
        <f>WORKDAY(Config!$B$5,ROUND((A28-1)*5/Config!$B$6,0))</f>
        <v/>
      </c>
      <c r="C28" s="36" t="n">
        <v>1</v>
      </c>
      <c r="D28" s="36" t="inlineStr">
        <is>
          <t>Domain Model &amp; Database</t>
        </is>
      </c>
      <c r="E28" s="36" t="inlineStr">
        <is>
          <t>Schema build-out</t>
        </is>
      </c>
      <c r="F28" s="37" t="inlineStr">
        <is>
          <t>Schema: inventory</t>
        </is>
      </c>
      <c r="G28" s="36" t="inlineStr">
        <is>
          <t>inventory_units, inventory_movements (append-only)</t>
        </is>
      </c>
      <c r="H28" s="36" t="inlineStr">
        <is>
          <t>Movement ledger sums correctly; no mutable counter</t>
        </is>
      </c>
      <c r="I28" s="36" t="inlineStr">
        <is>
          <t>Ledger is auditable — every change has actor and reason</t>
        </is>
      </c>
      <c r="J28" s="43" t="inlineStr">
        <is>
          <t>Not started</t>
        </is>
      </c>
      <c r="K28" s="43" t="n"/>
      <c r="L28" s="43" t="n"/>
      <c r="M28" s="44" t="inlineStr">
        <is>
          <t>D024</t>
        </is>
      </c>
      <c r="N28" s="44" t="inlineStr">
        <is>
          <t>D024</t>
        </is>
      </c>
      <c r="O28" s="24" t="inlineStr">
        <is>
          <t>2.0h</t>
        </is>
      </c>
    </row>
    <row r="29" ht="23.85" customHeight="1" s="25">
      <c r="A29" s="36" t="n">
        <v>25</v>
      </c>
      <c r="B29" s="38">
        <f>WORKDAY(Config!$B$5,ROUND((A29-1)*5/Config!$B$6,0))</f>
        <v/>
      </c>
      <c r="C29" s="36" t="n">
        <v>1</v>
      </c>
      <c r="D29" s="36" t="inlineStr">
        <is>
          <t>Domain Model &amp; Database</t>
        </is>
      </c>
      <c r="E29" s="36" t="inlineStr">
        <is>
          <t>Schema build-out</t>
        </is>
      </c>
      <c r="F29" s="37" t="inlineStr">
        <is>
          <t>Schema: service capacity</t>
        </is>
      </c>
      <c r="G29" s="36" t="inlineStr">
        <is>
          <t>resources, availability_rules, availability_exceptions</t>
        </is>
      </c>
      <c r="H29" s="36" t="inlineStr">
        <is>
          <t>Rules and exceptions persist and query correctly</t>
        </is>
      </c>
      <c r="I29" s="36" t="inlineStr">
        <is>
          <t>Resource capacity bounds concurrent bookings</t>
        </is>
      </c>
      <c r="J29" s="43" t="inlineStr">
        <is>
          <t>Not started</t>
        </is>
      </c>
      <c r="K29" s="43" t="n"/>
      <c r="L29" s="43" t="n"/>
      <c r="M29" s="44" t="inlineStr">
        <is>
          <t>D025</t>
        </is>
      </c>
      <c r="N29" s="44" t="inlineStr">
        <is>
          <t>D025</t>
        </is>
      </c>
      <c r="O29" s="24" t="inlineStr">
        <is>
          <t>4.0h</t>
        </is>
      </c>
    </row>
    <row r="30" ht="23.85" customHeight="1" s="25">
      <c r="A30" s="36" t="n">
        <v>26</v>
      </c>
      <c r="B30" s="38">
        <f>WORKDAY(Config!$B$5,ROUND((A30-1)*5/Config!$B$6,0))</f>
        <v/>
      </c>
      <c r="C30" s="36" t="n">
        <v>1</v>
      </c>
      <c r="D30" s="36" t="inlineStr">
        <is>
          <t>Domain Model &amp; Database</t>
        </is>
      </c>
      <c r="E30" s="36" t="inlineStr">
        <is>
          <t>Schema build-out</t>
        </is>
      </c>
      <c r="F30" s="37" t="inlineStr">
        <is>
          <t>Schema: reservations</t>
        </is>
      </c>
      <c r="G30" s="36" t="inlineStr">
        <is>
          <t>reservations with state, expires_at, blocking-state index</t>
        </is>
      </c>
      <c r="H30" s="36" t="inlineStr">
        <is>
          <t>Index present; blocking-state filter works</t>
        </is>
      </c>
      <c r="I30" s="36" t="inlineStr">
        <is>
          <t>The correctness centre — see 05</t>
        </is>
      </c>
      <c r="J30" s="43" t="inlineStr">
        <is>
          <t>Not started</t>
        </is>
      </c>
      <c r="K30" s="43" t="n"/>
      <c r="L30" s="43" t="n"/>
      <c r="M30" s="44" t="inlineStr">
        <is>
          <t>D026</t>
        </is>
      </c>
      <c r="N30" s="44" t="inlineStr">
        <is>
          <t>D026</t>
        </is>
      </c>
      <c r="O30" s="24" t="inlineStr">
        <is>
          <t>2.0h</t>
        </is>
      </c>
    </row>
    <row r="31" ht="23.85" customHeight="1" s="25">
      <c r="A31" s="36" t="n">
        <v>27</v>
      </c>
      <c r="B31" s="38">
        <f>WORKDAY(Config!$B$5,ROUND((A31-1)*5/Config!$B$6,0))</f>
        <v/>
      </c>
      <c r="C31" s="36" t="n">
        <v>1</v>
      </c>
      <c r="D31" s="36" t="inlineStr">
        <is>
          <t>Domain Model &amp; Database</t>
        </is>
      </c>
      <c r="E31" s="36" t="inlineStr">
        <is>
          <t>Schema build-out</t>
        </is>
      </c>
      <c r="F31" s="37" t="inlineStr">
        <is>
          <t>Schema: orders</t>
        </is>
      </c>
      <c r="G31" s="36" t="inlineStr">
        <is>
          <t>orders, order_lines with copied prices and mode</t>
        </is>
      </c>
      <c r="H31" s="36" t="inlineStr">
        <is>
          <t>Archiving a listing does not alter historical orders</t>
        </is>
      </c>
      <c r="I31" s="36" t="inlineStr">
        <is>
          <t>Prices copied not referenced — history must not mutate</t>
        </is>
      </c>
      <c r="J31" s="43" t="inlineStr">
        <is>
          <t>Not started</t>
        </is>
      </c>
      <c r="K31" s="43" t="n"/>
      <c r="L31" s="43" t="n"/>
      <c r="M31" s="44" t="inlineStr">
        <is>
          <t>D027</t>
        </is>
      </c>
      <c r="N31" s="44" t="inlineStr">
        <is>
          <t>D027</t>
        </is>
      </c>
      <c r="O31" s="24" t="inlineStr">
        <is>
          <t>2.0h</t>
        </is>
      </c>
    </row>
    <row r="32" ht="23.85" customHeight="1" s="25">
      <c r="A32" s="36" t="n">
        <v>28</v>
      </c>
      <c r="B32" s="38">
        <f>WORKDAY(Config!$B$5,ROUND((A32-1)*5/Config!$B$6,0))</f>
        <v/>
      </c>
      <c r="C32" s="36" t="n">
        <v>1</v>
      </c>
      <c r="D32" s="36" t="inlineStr">
        <is>
          <t>Domain Model &amp; Database</t>
        </is>
      </c>
      <c r="E32" s="36" t="inlineStr">
        <is>
          <t>Schema build-out</t>
        </is>
      </c>
      <c r="F32" s="37" t="inlineStr">
        <is>
          <t>Schema: payments</t>
        </is>
      </c>
      <c r="G32" s="36" t="inlineStr">
        <is>
          <t>payments, deposit_authorizations</t>
        </is>
      </c>
      <c r="H32" s="36" t="inlineStr">
        <is>
          <t>provider_ref unique constraint enforced</t>
        </is>
      </c>
      <c r="I32" s="36" t="inlineStr">
        <is>
          <t>No PAN, CVV, or track data anywhere in the schema</t>
        </is>
      </c>
      <c r="J32" s="43" t="inlineStr">
        <is>
          <t>Not started</t>
        </is>
      </c>
      <c r="K32" s="43" t="n"/>
      <c r="L32" s="43" t="n"/>
      <c r="M32" s="44" t="inlineStr">
        <is>
          <t>D028</t>
        </is>
      </c>
      <c r="N32" s="44" t="inlineStr">
        <is>
          <t>D028</t>
        </is>
      </c>
      <c r="O32" s="24" t="inlineStr">
        <is>
          <t>4.5h</t>
        </is>
      </c>
    </row>
    <row r="33" ht="23.85" customHeight="1" s="25">
      <c r="A33" s="36" t="n">
        <v>29</v>
      </c>
      <c r="B33" s="38">
        <f>WORKDAY(Config!$B$5,ROUND((A33-1)*5/Config!$B$6,0))</f>
        <v/>
      </c>
      <c r="C33" s="36" t="n">
        <v>1</v>
      </c>
      <c r="D33" s="36" t="inlineStr">
        <is>
          <t>Domain Model &amp; Database</t>
        </is>
      </c>
      <c r="E33" s="36" t="inlineStr">
        <is>
          <t>Schema build-out</t>
        </is>
      </c>
      <c r="F33" s="37" t="inlineStr">
        <is>
          <t>Schema: rental lifecycle</t>
        </is>
      </c>
      <c r="G33" s="36" t="inlineStr">
        <is>
          <t>fulfillment_events, condition_reports, condition_media, damage_claims</t>
        </is>
      </c>
      <c r="H33" s="36" t="inlineStr">
        <is>
          <t>All tables migrate; FKs enforced</t>
        </is>
      </c>
      <c r="I33" s="36" t="inlineStr">
        <is>
          <t>condition_media.sha256 present for tamper evidence</t>
        </is>
      </c>
      <c r="J33" s="43" t="inlineStr">
        <is>
          <t>Not started</t>
        </is>
      </c>
      <c r="K33" s="43" t="n"/>
      <c r="L33" s="43" t="n"/>
      <c r="M33" s="44" t="inlineStr">
        <is>
          <t>D029</t>
        </is>
      </c>
      <c r="N33" s="44" t="inlineStr">
        <is>
          <t>D029</t>
        </is>
      </c>
      <c r="O33" s="24" t="inlineStr">
        <is>
          <t>2.0h</t>
        </is>
      </c>
    </row>
    <row r="34" ht="23.85" customHeight="1" s="25">
      <c r="A34" s="45" t="n">
        <v>30</v>
      </c>
      <c r="B34" s="46">
        <f>WORKDAY(Config!$B$5,ROUND((A34-1)*5/Config!$B$6,0))</f>
        <v/>
      </c>
      <c r="C34" s="45" t="n">
        <v>1</v>
      </c>
      <c r="D34" s="45" t="inlineStr">
        <is>
          <t>Domain Model &amp; Database</t>
        </is>
      </c>
      <c r="E34" s="45" t="inlineStr">
        <is>
          <t>Schema build-out</t>
        </is>
      </c>
      <c r="F34" s="47" t="inlineStr">
        <is>
          <t>Audit log and hash chain — GATE G1</t>
        </is>
      </c>
      <c r="G34" s="45" t="inlineStr">
        <is>
          <t>audit_log with prev_hash/row_hash; verification job</t>
        </is>
      </c>
      <c r="H34" s="45" t="inlineStr">
        <is>
          <t>Tampering with a row is detected by the verifier; G1 isolation suite green</t>
        </is>
      </c>
      <c r="I34" s="45" t="inlineStr">
        <is>
          <t>Hash chain makes tampering detectable, not merely difficult</t>
        </is>
      </c>
      <c r="J34" s="43" t="inlineStr">
        <is>
          <t>Not started</t>
        </is>
      </c>
      <c r="K34" s="43" t="n"/>
      <c r="L34" s="43" t="n"/>
      <c r="M34" s="44" t="inlineStr">
        <is>
          <t>D030</t>
        </is>
      </c>
      <c r="N34" s="44" t="inlineStr">
        <is>
          <t>D030</t>
        </is>
      </c>
      <c r="O34" s="24" t="inlineStr">
        <is>
          <t>3.5h</t>
        </is>
      </c>
    </row>
    <row r="35" ht="23.85" customHeight="1" s="25">
      <c r="A35" s="36" t="n">
        <v>31</v>
      </c>
      <c r="B35" s="38">
        <f>WORKDAY(Config!$B$5,ROUND((A35-1)*5/Config!$B$6,0))</f>
        <v/>
      </c>
      <c r="C35" s="36" t="n">
        <v>2</v>
      </c>
      <c r="D35" s="36" t="inlineStr">
        <is>
          <t>Catalog &amp; Product Inventory</t>
        </is>
      </c>
      <c r="E35" s="36" t="inlineStr">
        <is>
          <t>Domain + API foundation</t>
        </is>
      </c>
      <c r="F35" s="37" t="inlineStr">
        <is>
          <t>Domain: money and line totals</t>
        </is>
      </c>
      <c r="G35" s="36" t="inlineStr">
        <is>
          <t>Money arithmetic; invariant I8</t>
        </is>
      </c>
      <c r="H35" s="36" t="inlineStr">
        <is>
          <t>Property test: qty x unit price equals line total, in minor units</t>
        </is>
      </c>
      <c r="I35" s="36" t="inlineStr">
        <is>
          <t>No floating point anywhere in money paths</t>
        </is>
      </c>
      <c r="J35" s="43" t="inlineStr">
        <is>
          <t>Not started</t>
        </is>
      </c>
      <c r="K35" s="43" t="n"/>
      <c r="L35" s="43" t="n"/>
      <c r="M35" s="44" t="inlineStr">
        <is>
          <t>D031</t>
        </is>
      </c>
      <c r="N35" s="44" t="inlineStr">
        <is>
          <t>D031</t>
        </is>
      </c>
      <c r="O35" s="24" t="inlineStr">
        <is>
          <t>2.0h</t>
        </is>
      </c>
    </row>
    <row r="36" ht="23.85" customHeight="1" s="25">
      <c r="A36" s="36" t="n">
        <v>32</v>
      </c>
      <c r="B36" s="38">
        <f>WORKDAY(Config!$B$5,ROUND((A36-1)*5/Config!$B$6,0))</f>
        <v/>
      </c>
      <c r="C36" s="36" t="n">
        <v>2</v>
      </c>
      <c r="D36" s="36" t="inlineStr">
        <is>
          <t>Catalog &amp; Product Inventory</t>
        </is>
      </c>
      <c r="E36" s="36" t="inlineStr">
        <is>
          <t>Domain + API foundation</t>
        </is>
      </c>
      <c r="F36" s="37" t="inlineStr">
        <is>
          <t>Service: product listings</t>
        </is>
      </c>
      <c r="G36" s="36" t="inlineStr">
        <is>
          <t>Create/update/archive PRODUCT listings</t>
        </is>
      </c>
      <c r="H36" s="36" t="inlineStr">
        <is>
          <t>Mode-specific validation rejects service/rental fields</t>
        </is>
      </c>
      <c r="I36" s="36" t="inlineStr">
        <is>
          <t>Authorization asserted before any write</t>
        </is>
      </c>
      <c r="J36" s="43" t="inlineStr">
        <is>
          <t>Not started</t>
        </is>
      </c>
      <c r="K36" s="43" t="n"/>
      <c r="L36" s="43" t="n"/>
      <c r="M36" s="44" t="inlineStr">
        <is>
          <t>D032</t>
        </is>
      </c>
      <c r="N36" s="44" t="inlineStr">
        <is>
          <t>D032</t>
        </is>
      </c>
      <c r="O36" s="24" t="inlineStr">
        <is>
          <t>1.5h</t>
        </is>
      </c>
    </row>
    <row r="37" ht="23.85" customHeight="1" s="25">
      <c r="A37" s="36" t="n">
        <v>33</v>
      </c>
      <c r="B37" s="38">
        <f>WORKDAY(Config!$B$5,ROUND((A37-1)*5/Config!$B$6,0))</f>
        <v/>
      </c>
      <c r="C37" s="36" t="n">
        <v>2</v>
      </c>
      <c r="D37" s="36" t="inlineStr">
        <is>
          <t>Catalog &amp; Product Inventory</t>
        </is>
      </c>
      <c r="E37" s="36" t="inlineStr">
        <is>
          <t>Domain + API foundation</t>
        </is>
      </c>
      <c r="F37" s="37" t="inlineStr">
        <is>
          <t>Service: variants</t>
        </is>
      </c>
      <c r="G37" s="36" t="inlineStr">
        <is>
          <t>Variant CRUD with mode-conditional fields</t>
        </is>
      </c>
      <c r="H37" s="36" t="inlineStr">
        <is>
          <t>CHECK constraints hold for each mode</t>
        </is>
      </c>
      <c r="I37" s="36" t="inlineStr">
        <is>
          <t>Variant price is server-authoritative</t>
        </is>
      </c>
      <c r="J37" s="43" t="inlineStr">
        <is>
          <t>Not started</t>
        </is>
      </c>
      <c r="K37" s="43" t="n"/>
      <c r="L37" s="43" t="n"/>
      <c r="M37" s="44" t="inlineStr">
        <is>
          <t>D033</t>
        </is>
      </c>
      <c r="N37" s="44" t="inlineStr">
        <is>
          <t>D033</t>
        </is>
      </c>
      <c r="O37" s="24" t="inlineStr">
        <is>
          <t>1.5h</t>
        </is>
      </c>
    </row>
    <row r="38" ht="23.85" customHeight="1" s="25">
      <c r="A38" s="36" t="n">
        <v>34</v>
      </c>
      <c r="B38" s="38">
        <f>WORKDAY(Config!$B$5,ROUND((A38-1)*5/Config!$B$6,0))</f>
        <v/>
      </c>
      <c r="C38" s="36" t="n">
        <v>2</v>
      </c>
      <c r="D38" s="36" t="inlineStr">
        <is>
          <t>Catalog &amp; Product Inventory</t>
        </is>
      </c>
      <c r="E38" s="36" t="inlineStr">
        <is>
          <t>Domain + API foundation</t>
        </is>
      </c>
      <c r="F38" s="37" t="inlineStr">
        <is>
          <t>Contracts package</t>
        </is>
      </c>
      <c r="G38" s="36" t="inlineStr">
        <is>
          <t>Zod schemas for listings and variants; generated types</t>
        </is>
      </c>
      <c r="H38" s="36" t="inlineStr">
        <is>
          <t>Web and mobile compile against generated types</t>
        </is>
      </c>
      <c r="I38" s="36" t="inlineStr">
        <is>
          <t>One validation definition, enforced everywhere</t>
        </is>
      </c>
      <c r="J38" s="43" t="inlineStr">
        <is>
          <t>Not started</t>
        </is>
      </c>
      <c r="K38" s="43" t="n"/>
      <c r="L38" s="43" t="n"/>
      <c r="M38" s="44" t="inlineStr">
        <is>
          <t>D034</t>
        </is>
      </c>
      <c r="N38" s="44" t="inlineStr">
        <is>
          <t>D034</t>
        </is>
      </c>
      <c r="O38" s="24" t="inlineStr">
        <is>
          <t>1.5h</t>
        </is>
      </c>
    </row>
    <row r="39" ht="23.85" customHeight="1" s="25">
      <c r="A39" s="36" t="n">
        <v>35</v>
      </c>
      <c r="B39" s="38">
        <f>WORKDAY(Config!$B$5,ROUND((A39-1)*5/Config!$B$6,0))</f>
        <v/>
      </c>
      <c r="C39" s="36" t="n">
        <v>2</v>
      </c>
      <c r="D39" s="36" t="inlineStr">
        <is>
          <t>Catalog &amp; Product Inventory</t>
        </is>
      </c>
      <c r="E39" s="36" t="inlineStr">
        <is>
          <t>Domain + API foundation</t>
        </is>
      </c>
      <c r="F39" s="37" t="inlineStr">
        <is>
          <t>API skeleton</t>
        </is>
      </c>
      <c r="G39" s="36" t="inlineStr">
        <is>
          <t>Fastify; RFC 9457 errors; X-Request-Id; structured JSON logging</t>
        </is>
      </c>
      <c r="H39" s="36" t="inlineStr">
        <is>
          <t>Health and ready endpoints respond</t>
        </is>
      </c>
      <c r="I39" s="36" t="inlineStr">
        <is>
          <t>No PII, tokens, or stack traces in logs or responses</t>
        </is>
      </c>
      <c r="J39" s="43" t="inlineStr">
        <is>
          <t>Not started</t>
        </is>
      </c>
      <c r="K39" s="43" t="n"/>
      <c r="L39" s="43" t="n"/>
      <c r="M39" s="44" t="inlineStr">
        <is>
          <t>D035</t>
        </is>
      </c>
      <c r="N39" s="44" t="inlineStr">
        <is>
          <t>D035</t>
        </is>
      </c>
      <c r="O39" s="24" t="inlineStr">
        <is>
          <t>3.5h</t>
        </is>
      </c>
    </row>
    <row r="40" ht="23.85" customHeight="1" s="25">
      <c r="A40" s="36" t="n">
        <v>36</v>
      </c>
      <c r="B40" s="38">
        <f>WORKDAY(Config!$B$5,ROUND((A40-1)*5/Config!$B$6,0))</f>
        <v/>
      </c>
      <c r="C40" s="36" t="n">
        <v>2</v>
      </c>
      <c r="D40" s="36" t="inlineStr">
        <is>
          <t>Catalog &amp; Product Inventory</t>
        </is>
      </c>
      <c r="E40" s="36" t="inlineStr">
        <is>
          <t>Domain + API foundation</t>
        </is>
      </c>
      <c r="F40" s="37" t="inlineStr">
        <is>
          <t>API: authentication middleware</t>
        </is>
      </c>
      <c r="G40" s="36" t="inlineStr">
        <is>
          <t>Token verification; TenantContext resolution</t>
        </is>
      </c>
      <c r="H40" s="36" t="inlineStr">
        <is>
          <t>Invalid token rejected; ctx populated correctly</t>
        </is>
      </c>
      <c r="I40" s="36" t="inlineStr">
        <is>
          <t>Short-lived tokens; refresh rotation with reuse detection</t>
        </is>
      </c>
      <c r="J40" s="43" t="inlineStr">
        <is>
          <t>Not started</t>
        </is>
      </c>
      <c r="K40" s="43" t="n"/>
      <c r="L40" s="43" t="n"/>
      <c r="M40" s="44" t="inlineStr">
        <is>
          <t>D036</t>
        </is>
      </c>
      <c r="N40" s="44" t="inlineStr">
        <is>
          <t>D036</t>
        </is>
      </c>
      <c r="O40" s="24" t="inlineStr">
        <is>
          <t>1.5h</t>
        </is>
      </c>
    </row>
    <row r="41" ht="23.85" customHeight="1" s="25">
      <c r="A41" s="36" t="n">
        <v>37</v>
      </c>
      <c r="B41" s="38">
        <f>WORKDAY(Config!$B$5,ROUND((A41-1)*5/Config!$B$6,0))</f>
        <v/>
      </c>
      <c r="C41" s="36" t="n">
        <v>2</v>
      </c>
      <c r="D41" s="36" t="inlineStr">
        <is>
          <t>Catalog &amp; Product Inventory</t>
        </is>
      </c>
      <c r="E41" s="36" t="inlineStr">
        <is>
          <t>Domain + API foundation</t>
        </is>
      </c>
      <c r="F41" s="37" t="inlineStr">
        <is>
          <t>API: RBAC</t>
        </is>
      </c>
      <c r="G41" s="36" t="inlineStr">
        <is>
          <t>assertCan(ctx, action, resource); role matrix</t>
        </is>
      </c>
      <c r="H41" s="36" t="inlineStr">
        <is>
          <t>Each role's permitted and forbidden actions tested</t>
        </is>
      </c>
      <c r="I41" s="36" t="inlineStr">
        <is>
          <t>Default deny — unlisted actions are forbidden</t>
        </is>
      </c>
      <c r="J41" s="43" t="inlineStr">
        <is>
          <t>Not started</t>
        </is>
      </c>
      <c r="K41" s="43" t="n"/>
      <c r="L41" s="43" t="n"/>
      <c r="M41" s="44" t="inlineStr">
        <is>
          <t>D037</t>
        </is>
      </c>
      <c r="N41" s="44" t="inlineStr">
        <is>
          <t>D037</t>
        </is>
      </c>
      <c r="O41" s="24" t="inlineStr">
        <is>
          <t>1.5h</t>
        </is>
      </c>
    </row>
    <row r="42" ht="23.85" customHeight="1" s="25">
      <c r="A42" s="36" t="n">
        <v>38</v>
      </c>
      <c r="B42" s="38">
        <f>WORKDAY(Config!$B$5,ROUND((A42-1)*5/Config!$B$6,0))</f>
        <v/>
      </c>
      <c r="C42" s="36" t="n">
        <v>2</v>
      </c>
      <c r="D42" s="36" t="inlineStr">
        <is>
          <t>Catalog &amp; Product Inventory</t>
        </is>
      </c>
      <c r="E42" s="36" t="inlineStr">
        <is>
          <t>Domain + API foundation</t>
        </is>
      </c>
      <c r="F42" s="37" t="inlineStr">
        <is>
          <t>API: listing endpoints</t>
        </is>
      </c>
      <c r="G42" s="36" t="inlineStr">
        <is>
          <t>CRUD routes with contract validation</t>
        </is>
      </c>
      <c r="H42" s="36" t="inlineStr">
        <is>
          <t>Authorization test per route; cross-tenant read returns 404</t>
        </is>
      </c>
      <c r="I42" s="36" t="inlineStr">
        <is>
          <t>IDOR test: another merchant's listing ID is not readable</t>
        </is>
      </c>
      <c r="J42" s="43" t="inlineStr">
        <is>
          <t>Not started</t>
        </is>
      </c>
      <c r="K42" s="43" t="n"/>
      <c r="L42" s="43" t="n"/>
      <c r="M42" s="44" t="inlineStr">
        <is>
          <t>D038</t>
        </is>
      </c>
      <c r="N42" s="44" t="inlineStr">
        <is>
          <t>D038</t>
        </is>
      </c>
      <c r="O42" s="24" t="inlineStr">
        <is>
          <t>2.0h</t>
        </is>
      </c>
    </row>
    <row r="43" ht="23.85" customHeight="1" s="25">
      <c r="A43" s="36" t="n">
        <v>39</v>
      </c>
      <c r="B43" s="38">
        <f>WORKDAY(Config!$B$5,ROUND((A43-1)*5/Config!$B$6,0))</f>
        <v/>
      </c>
      <c r="C43" s="36" t="n">
        <v>2</v>
      </c>
      <c r="D43" s="36" t="inlineStr">
        <is>
          <t>Catalog &amp; Product Inventory</t>
        </is>
      </c>
      <c r="E43" s="36" t="inlineStr">
        <is>
          <t>Inventory</t>
        </is>
      </c>
      <c r="F43" s="37" t="inlineStr">
        <is>
          <t>Inventory receipts and stock summation</t>
        </is>
      </c>
      <c r="G43" s="36" t="inlineStr">
        <is>
          <t>RECEIPT movements; stock computed from ledger</t>
        </is>
      </c>
      <c r="H43" s="36" t="inlineStr">
        <is>
          <t>Stock matches ledger sum across mixed movements</t>
        </is>
      </c>
      <c r="I43" s="36" t="inlineStr">
        <is>
          <t>Adjustments are audit-logged with a reason</t>
        </is>
      </c>
      <c r="J43" s="43" t="inlineStr">
        <is>
          <t>Not started</t>
        </is>
      </c>
      <c r="K43" s="43" t="n"/>
      <c r="L43" s="43" t="n"/>
      <c r="M43" s="44" t="inlineStr">
        <is>
          <t>D039</t>
        </is>
      </c>
      <c r="N43" s="44" t="inlineStr">
        <is>
          <t>D039</t>
        </is>
      </c>
      <c r="O43" s="24" t="inlineStr">
        <is>
          <t>1.5h</t>
        </is>
      </c>
    </row>
    <row r="44" ht="15" customHeight="1" s="25">
      <c r="A44" s="36" t="n">
        <v>40</v>
      </c>
      <c r="B44" s="38">
        <f>WORKDAY(Config!$B$5,ROUND((A44-1)*5/Config!$B$6,0))</f>
        <v/>
      </c>
      <c r="C44" s="36" t="n">
        <v>2</v>
      </c>
      <c r="D44" s="36" t="inlineStr">
        <is>
          <t>Catalog &amp; Product Inventory</t>
        </is>
      </c>
      <c r="E44" s="36" t="inlineStr">
        <is>
          <t>Inventory</t>
        </is>
      </c>
      <c r="F44" s="37" t="inlineStr">
        <is>
          <t>Stock invariant I5</t>
        </is>
      </c>
      <c r="G44" s="36" t="inlineStr">
        <is>
          <t>Guarded decrement; concurrent test N=50</t>
        </is>
      </c>
      <c r="H44" s="36" t="inlineStr">
        <is>
          <t>Stock never negative; exactly N succeed</t>
        </is>
      </c>
      <c r="I44" s="36" t="inlineStr">
        <is>
          <t>Real parallel transactions, not sequential calls</t>
        </is>
      </c>
      <c r="J44" s="43" t="inlineStr">
        <is>
          <t>Not started</t>
        </is>
      </c>
      <c r="K44" s="43" t="n"/>
      <c r="L44" s="43" t="n"/>
      <c r="M44" s="44" t="inlineStr">
        <is>
          <t>D040</t>
        </is>
      </c>
      <c r="N44" s="44" t="inlineStr">
        <is>
          <t>D040</t>
        </is>
      </c>
      <c r="O44" s="24" t="inlineStr">
        <is>
          <t>4.0h</t>
        </is>
      </c>
    </row>
    <row r="45" ht="15" customHeight="1" s="25">
      <c r="A45" s="36" t="n">
        <v>41</v>
      </c>
      <c r="B45" s="38">
        <f>WORKDAY(Config!$B$5,ROUND((A45-1)*5/Config!$B$6,0))</f>
        <v/>
      </c>
      <c r="C45" s="36" t="n">
        <v>2</v>
      </c>
      <c r="D45" s="36" t="inlineStr">
        <is>
          <t>Catalog &amp; Product Inventory</t>
        </is>
      </c>
      <c r="E45" s="36" t="inlineStr">
        <is>
          <t>Inventory</t>
        </is>
      </c>
      <c r="F45" s="37" t="inlineStr">
        <is>
          <t>Inventory units</t>
        </is>
      </c>
      <c r="G45" s="36" t="inlineStr">
        <is>
          <t>Serialized vs fungible; status transitions</t>
        </is>
      </c>
      <c r="H45" s="36" t="inlineStr">
        <is>
          <t>SOLD/RETIRED transitions enforced</t>
        </is>
      </c>
      <c r="I45" s="36" t="inlineStr">
        <is>
          <t>Unit status changes audit-logged</t>
        </is>
      </c>
      <c r="J45" s="43" t="inlineStr">
        <is>
          <t>Not started</t>
        </is>
      </c>
      <c r="K45" s="43" t="n"/>
      <c r="L45" s="43" t="n"/>
      <c r="M45" s="44" t="inlineStr">
        <is>
          <t>D041</t>
        </is>
      </c>
      <c r="N45" s="44" t="inlineStr">
        <is>
          <t>D041</t>
        </is>
      </c>
      <c r="O45" s="24" t="inlineStr">
        <is>
          <t>1.5h</t>
        </is>
      </c>
    </row>
    <row r="46" ht="23.85" customHeight="1" s="25">
      <c r="A46" s="36" t="n">
        <v>42</v>
      </c>
      <c r="B46" s="38">
        <f>WORKDAY(Config!$B$5,ROUND((A46-1)*5/Config!$B$6,0))</f>
        <v/>
      </c>
      <c r="C46" s="36" t="n">
        <v>2</v>
      </c>
      <c r="D46" s="36" t="inlineStr">
        <is>
          <t>Catalog &amp; Product Inventory</t>
        </is>
      </c>
      <c r="E46" s="36" t="inlineStr">
        <is>
          <t>Inventory</t>
        </is>
      </c>
      <c r="F46" s="37" t="inlineStr">
        <is>
          <t>Product sale path</t>
        </is>
      </c>
      <c r="G46" s="36" t="inlineStr">
        <is>
          <t>Sale service; server-side price computation</t>
        </is>
      </c>
      <c r="H46" s="36" t="inlineStr">
        <is>
          <t>Client-supplied price is ignored and the server value used</t>
        </is>
      </c>
      <c r="I46" s="36" t="inlineStr">
        <is>
          <t>THREAT: price tampering. Prices never accepted from the client</t>
        </is>
      </c>
      <c r="J46" s="43" t="inlineStr">
        <is>
          <t>Not started</t>
        </is>
      </c>
      <c r="K46" s="43" t="n"/>
      <c r="L46" s="43" t="n"/>
      <c r="M46" s="44" t="inlineStr">
        <is>
          <t>D042</t>
        </is>
      </c>
      <c r="N46" s="44" t="inlineStr">
        <is>
          <t>D042</t>
        </is>
      </c>
      <c r="O46" s="24" t="inlineStr">
        <is>
          <t>1.5h</t>
        </is>
      </c>
    </row>
    <row r="47" ht="15" customHeight="1" s="25">
      <c r="A47" s="36" t="n">
        <v>43</v>
      </c>
      <c r="B47" s="38">
        <f>WORKDAY(Config!$B$5,ROUND((A47-1)*5/Config!$B$6,0))</f>
        <v/>
      </c>
      <c r="C47" s="36" t="n">
        <v>2</v>
      </c>
      <c r="D47" s="36" t="inlineStr">
        <is>
          <t>Catalog &amp; Product Inventory</t>
        </is>
      </c>
      <c r="E47" s="36" t="inlineStr">
        <is>
          <t>Inventory</t>
        </is>
      </c>
      <c r="F47" s="37" t="inlineStr">
        <is>
          <t>Cart and order model</t>
        </is>
      </c>
      <c r="G47" s="36" t="inlineStr">
        <is>
          <t>Create cart, add product line, compute totals</t>
        </is>
      </c>
      <c r="H47" s="36" t="inlineStr">
        <is>
          <t>Totals recomputed server-side on every mutation</t>
        </is>
      </c>
      <c r="I47" s="36" t="inlineStr">
        <is>
          <t>Cart is server-authoritative</t>
        </is>
      </c>
      <c r="J47" s="43" t="inlineStr">
        <is>
          <t>Not started</t>
        </is>
      </c>
      <c r="K47" s="43" t="n"/>
      <c r="L47" s="43" t="n"/>
      <c r="M47" s="44" t="inlineStr">
        <is>
          <t>D043</t>
        </is>
      </c>
      <c r="N47" s="44" t="inlineStr">
        <is>
          <t>D043</t>
        </is>
      </c>
      <c r="O47" s="24" t="inlineStr">
        <is>
          <t>1.5h</t>
        </is>
      </c>
    </row>
    <row r="48" ht="23.85" customHeight="1" s="25">
      <c r="A48" s="45" t="n">
        <v>44</v>
      </c>
      <c r="B48" s="46">
        <f>WORKDAY(Config!$B$5,ROUND((A48-1)*5/Config!$B$6,0))</f>
        <v/>
      </c>
      <c r="C48" s="45" t="n">
        <v>2</v>
      </c>
      <c r="D48" s="45" t="inlineStr">
        <is>
          <t>Catalog &amp; Product Inventory</t>
        </is>
      </c>
      <c r="E48" s="45" t="inlineStr">
        <is>
          <t>Inventory</t>
        </is>
      </c>
      <c r="F48" s="47" t="inlineStr">
        <is>
          <t>Product purchase E2E — GATE G2</t>
        </is>
      </c>
      <c r="G48" s="45" t="inlineStr">
        <is>
          <t>End-to-end product purchase test</t>
        </is>
      </c>
      <c r="H48" s="45" t="inlineStr">
        <is>
          <t>A product can be listed, stocked, and sold unaided</t>
        </is>
      </c>
      <c r="I48" s="45" t="inlineStr">
        <is>
          <t>G2 record filed with test evidence</t>
        </is>
      </c>
      <c r="J48" s="43" t="inlineStr">
        <is>
          <t>Not started</t>
        </is>
      </c>
      <c r="K48" s="43" t="n"/>
      <c r="L48" s="43" t="n"/>
      <c r="M48" s="44" t="inlineStr">
        <is>
          <t>D044</t>
        </is>
      </c>
      <c r="N48" s="44" t="inlineStr">
        <is>
          <t>D044</t>
        </is>
      </c>
      <c r="O48" s="24" t="inlineStr">
        <is>
          <t>3.0h</t>
        </is>
      </c>
    </row>
    <row r="49" ht="23.85" customHeight="1" s="25">
      <c r="A49" s="36" t="n">
        <v>45</v>
      </c>
      <c r="B49" s="38">
        <f>WORKDAY(Config!$B$5,ROUND((A49-1)*5/Config!$B$6,0))</f>
        <v/>
      </c>
      <c r="C49" s="36" t="n">
        <v>3</v>
      </c>
      <c r="D49" s="36" t="inlineStr">
        <is>
          <t>Availability Engine &amp; Services</t>
        </is>
      </c>
      <c r="E49" s="36" t="inlineStr">
        <is>
          <t>Availability domain</t>
        </is>
      </c>
      <c r="F49" s="37" t="inlineStr">
        <is>
          <t>Interval type and overlap predicate</t>
        </is>
      </c>
      <c r="G49" s="36" t="inlineStr">
        <is>
          <t>Half-open [start,end) type; overlap function in packages/domain</t>
        </is>
      </c>
      <c r="H49" s="36" t="inlineStr">
        <is>
          <t>Adjacent intervals do not conflict; 1-second overlap does</t>
        </is>
      </c>
      <c r="I49" s="36" t="inlineStr">
        <is>
          <t>Pure function, no I/O — unit tested exhaustively</t>
        </is>
      </c>
      <c r="J49" s="43" t="inlineStr">
        <is>
          <t>Not started</t>
        </is>
      </c>
      <c r="K49" s="43" t="n"/>
      <c r="L49" s="43" t="n"/>
      <c r="M49" s="44" t="inlineStr">
        <is>
          <t>D045</t>
        </is>
      </c>
      <c r="N49" s="44" t="inlineStr">
        <is>
          <t>D045</t>
        </is>
      </c>
      <c r="O49" s="24" t="inlineStr">
        <is>
          <t>2.5h</t>
        </is>
      </c>
    </row>
    <row r="50" ht="23.85" customHeight="1" s="25">
      <c r="A50" s="36" t="n">
        <v>46</v>
      </c>
      <c r="B50" s="38">
        <f>WORKDAY(Config!$B$5,ROUND((A50-1)*5/Config!$B$6,0))</f>
        <v/>
      </c>
      <c r="C50" s="36" t="n">
        <v>3</v>
      </c>
      <c r="D50" s="36" t="inlineStr">
        <is>
          <t>Availability Engine &amp; Services</t>
        </is>
      </c>
      <c r="E50" s="36" t="inlineStr">
        <is>
          <t>Availability domain</t>
        </is>
      </c>
      <c r="F50" s="37" t="inlineStr">
        <is>
          <t>Availability rule expansion</t>
        </is>
      </c>
      <c r="G50" s="36" t="inlineStr">
        <is>
          <t>weekday + time window to concrete intervals</t>
        </is>
      </c>
      <c r="H50" s="36" t="inlineStr">
        <is>
          <t>DST transition cases produce correct local windows</t>
        </is>
      </c>
      <c r="I50" s="36" t="inlineStr">
        <is>
          <t>Timezone errors are a correctness risk (T23)</t>
        </is>
      </c>
      <c r="J50" s="43" t="inlineStr">
        <is>
          <t>Not started</t>
        </is>
      </c>
      <c r="K50" s="43" t="n"/>
      <c r="L50" s="43" t="n"/>
      <c r="M50" s="44" t="inlineStr">
        <is>
          <t>D046</t>
        </is>
      </c>
      <c r="N50" s="44" t="inlineStr">
        <is>
          <t>D046</t>
        </is>
      </c>
      <c r="O50" s="24" t="inlineStr">
        <is>
          <t>2.5h</t>
        </is>
      </c>
    </row>
    <row r="51" ht="15" customHeight="1" s="25">
      <c r="A51" s="36" t="n">
        <v>47</v>
      </c>
      <c r="B51" s="38">
        <f>WORKDAY(Config!$B$5,ROUND((A51-1)*5/Config!$B$6,0))</f>
        <v/>
      </c>
      <c r="C51" s="36" t="n">
        <v>3</v>
      </c>
      <c r="D51" s="36" t="inlineStr">
        <is>
          <t>Availability Engine &amp; Services</t>
        </is>
      </c>
      <c r="E51" s="36" t="inlineStr">
        <is>
          <t>Availability domain</t>
        </is>
      </c>
      <c r="F51" s="37" t="inlineStr">
        <is>
          <t>Availability exceptions</t>
        </is>
      </c>
      <c r="G51" s="36" t="inlineStr">
        <is>
          <t>BLACKOUT and EXTRA application</t>
        </is>
      </c>
      <c r="H51" s="36" t="inlineStr">
        <is>
          <t>Exception overrides base rule correctly</t>
        </is>
      </c>
      <c r="I51" s="36" t="inlineStr">
        <is>
          <t>Merchant-controlled, tenant-scoped</t>
        </is>
      </c>
      <c r="J51" s="43" t="inlineStr">
        <is>
          <t>Not started</t>
        </is>
      </c>
      <c r="K51" s="43" t="n"/>
      <c r="L51" s="43" t="n"/>
      <c r="M51" s="44" t="inlineStr">
        <is>
          <t>D047</t>
        </is>
      </c>
      <c r="N51" s="44" t="inlineStr">
        <is>
          <t>D047</t>
        </is>
      </c>
      <c r="O51" s="24" t="inlineStr">
        <is>
          <t>2.5h</t>
        </is>
      </c>
    </row>
    <row r="52" ht="23.85" customHeight="1" s="25">
      <c r="A52" s="36" t="n">
        <v>48</v>
      </c>
      <c r="B52" s="38">
        <f>WORKDAY(Config!$B$5,ROUND((A52-1)*5/Config!$B$6,0))</f>
        <v/>
      </c>
      <c r="C52" s="36" t="n">
        <v>3</v>
      </c>
      <c r="D52" s="36" t="inlineStr">
        <is>
          <t>Availability Engine &amp; Services</t>
        </is>
      </c>
      <c r="E52" s="36" t="inlineStr">
        <is>
          <t>Availability domain</t>
        </is>
      </c>
      <c r="F52" s="37" t="inlineStr">
        <is>
          <t>Free-interval computation</t>
        </is>
      </c>
      <c r="G52" s="36" t="inlineStr">
        <is>
          <t>rules minus exceptions minus blocking reservations</t>
        </is>
      </c>
      <c r="H52" s="36" t="inlineStr">
        <is>
          <t>Computed free set matches fixtures across edge cases</t>
        </is>
      </c>
      <c r="I52" s="36" t="inlineStr">
        <is>
          <t>Never returns who booked a slot — free/busy only</t>
        </is>
      </c>
      <c r="J52" s="43" t="inlineStr">
        <is>
          <t>Not started</t>
        </is>
      </c>
      <c r="K52" s="43" t="n"/>
      <c r="L52" s="43" t="n"/>
      <c r="M52" s="44" t="inlineStr">
        <is>
          <t>D048</t>
        </is>
      </c>
      <c r="N52" s="44" t="inlineStr">
        <is>
          <t>D048</t>
        </is>
      </c>
      <c r="O52" s="24" t="inlineStr">
        <is>
          <t>2.5h</t>
        </is>
      </c>
    </row>
    <row r="53" ht="23.85" customHeight="1" s="25">
      <c r="A53" s="36" t="n">
        <v>49</v>
      </c>
      <c r="B53" s="38">
        <f>WORKDAY(Config!$B$5,ROUND((A53-1)*5/Config!$B$6,0))</f>
        <v/>
      </c>
      <c r="C53" s="36" t="n">
        <v>3</v>
      </c>
      <c r="D53" s="36" t="inlineStr">
        <is>
          <t>Availability Engine &amp; Services</t>
        </is>
      </c>
      <c r="E53" s="36" t="inlineStr">
        <is>
          <t>Reservation engine</t>
        </is>
      </c>
      <c r="F53" s="37" t="inlineStr">
        <is>
          <t>Reservation repository</t>
        </is>
      </c>
      <c r="G53" s="36" t="inlineStr">
        <is>
          <t>Blocking-state query with overlap predicate</t>
        </is>
      </c>
      <c r="H53" s="36" t="inlineStr">
        <is>
          <t>Query uses the index; returns only HELD/CONFIRMED/IN_USE</t>
        </is>
      </c>
      <c r="I53" s="36" t="inlineStr">
        <is>
          <t>Blocking-state filter is security-relevant: expired holds must not block</t>
        </is>
      </c>
      <c r="J53" s="43" t="inlineStr">
        <is>
          <t>Not started</t>
        </is>
      </c>
      <c r="K53" s="43" t="n"/>
      <c r="L53" s="43" t="n"/>
      <c r="M53" s="44" t="inlineStr">
        <is>
          <t>D049</t>
        </is>
      </c>
      <c r="N53" s="44" t="inlineStr">
        <is>
          <t>D049</t>
        </is>
      </c>
      <c r="O53" s="24" t="inlineStr">
        <is>
          <t>2.5h</t>
        </is>
      </c>
    </row>
    <row r="54" ht="23.85" customHeight="1" s="25">
      <c r="A54" s="36" t="n">
        <v>50</v>
      </c>
      <c r="B54" s="38">
        <f>WORKDAY(Config!$B$5,ROUND((A54-1)*5/Config!$B$6,0))</f>
        <v/>
      </c>
      <c r="C54" s="36" t="n">
        <v>3</v>
      </c>
      <c r="D54" s="36" t="inlineStr">
        <is>
          <t>Availability Engine &amp; Services</t>
        </is>
      </c>
      <c r="E54" s="36" t="inlineStr">
        <is>
          <t>Reservation engine</t>
        </is>
      </c>
      <c r="F54" s="37" t="inlineStr">
        <is>
          <t>SQLite write path</t>
        </is>
      </c>
      <c r="G54" s="36" t="inlineStr">
        <is>
          <t>BEGIN IMMEDIATE check-then-insert</t>
        </is>
      </c>
      <c r="H54" s="36" t="inlineStr">
        <is>
          <t>Deferred-transaction variant demonstrably fails; IMMEDIATE passes</t>
        </is>
      </c>
      <c r="I54" s="36" t="inlineStr">
        <is>
          <t>BEGIN IMMEDIATE is load-bearing — deferred allows the race</t>
        </is>
      </c>
      <c r="J54" s="43" t="inlineStr">
        <is>
          <t>Not started</t>
        </is>
      </c>
      <c r="K54" s="43" t="n"/>
      <c r="L54" s="43" t="n"/>
      <c r="M54" s="44" t="inlineStr">
        <is>
          <t>D050</t>
        </is>
      </c>
      <c r="N54" s="44" t="inlineStr">
        <is>
          <t>D050</t>
        </is>
      </c>
      <c r="O54" s="24" t="inlineStr">
        <is>
          <t>4.5h</t>
        </is>
      </c>
    </row>
    <row r="55" ht="23.85" customHeight="1" s="25">
      <c r="A55" s="36" t="n">
        <v>51</v>
      </c>
      <c r="B55" s="38">
        <f>WORKDAY(Config!$B$5,ROUND((A55-1)*5/Config!$B$6,0))</f>
        <v/>
      </c>
      <c r="C55" s="36" t="n">
        <v>3</v>
      </c>
      <c r="D55" s="36" t="inlineStr">
        <is>
          <t>Availability Engine &amp; Services</t>
        </is>
      </c>
      <c r="E55" s="36" t="inlineStr">
        <is>
          <t>Reservation engine</t>
        </is>
      </c>
      <c r="F55" s="37" t="inlineStr">
        <is>
          <t>PostgreSQL exclusion constraint</t>
        </is>
      </c>
      <c r="G55" s="36" t="inlineStr">
        <is>
          <t>btree_gist; EXCLUDE USING gist migration with state predicate</t>
        </is>
      </c>
      <c r="H55" s="36" t="inlineStr">
        <is>
          <t>Constraint rejects an overlapping insert at the database level</t>
        </is>
      </c>
      <c r="I55" s="36" t="inlineStr">
        <is>
          <t>Makes double-booking impossible even from a console session</t>
        </is>
      </c>
      <c r="J55" s="43" t="inlineStr">
        <is>
          <t>Not started</t>
        </is>
      </c>
      <c r="K55" s="43" t="n"/>
      <c r="L55" s="43" t="n"/>
      <c r="M55" s="44" t="inlineStr">
        <is>
          <t>D051</t>
        </is>
      </c>
      <c r="N55" s="44" t="inlineStr">
        <is>
          <t>D051</t>
        </is>
      </c>
      <c r="O55" s="24" t="inlineStr">
        <is>
          <t>5.5h</t>
        </is>
      </c>
    </row>
    <row r="56" ht="15" customHeight="1" s="25">
      <c r="A56" s="36" t="n">
        <v>52</v>
      </c>
      <c r="B56" s="38">
        <f>WORKDAY(Config!$B$5,ROUND((A56-1)*5/Config!$B$6,0))</f>
        <v/>
      </c>
      <c r="C56" s="36" t="n">
        <v>3</v>
      </c>
      <c r="D56" s="36" t="inlineStr">
        <is>
          <t>Availability Engine &amp; Services</t>
        </is>
      </c>
      <c r="E56" s="36" t="inlineStr">
        <is>
          <t>Reservation engine</t>
        </is>
      </c>
      <c r="F56" s="37" t="inlineStr">
        <is>
          <t>Concurrency test harness</t>
        </is>
      </c>
      <c r="G56" s="36" t="inlineStr">
        <is>
          <t>Real parallel transaction runner for both dialects</t>
        </is>
      </c>
      <c r="H56" s="36" t="inlineStr">
        <is>
          <t>Harness demonstrably races (fails without the fix)</t>
        </is>
      </c>
      <c r="I56" s="36" t="inlineStr">
        <is>
          <t>A test that isn't actually concurrent proves nothing</t>
        </is>
      </c>
      <c r="J56" s="43" t="inlineStr">
        <is>
          <t>Not started</t>
        </is>
      </c>
      <c r="K56" s="43" t="n"/>
      <c r="L56" s="43" t="n"/>
      <c r="M56" s="44" t="inlineStr">
        <is>
          <t>D052</t>
        </is>
      </c>
      <c r="N56" s="44" t="inlineStr">
        <is>
          <t>D052</t>
        </is>
      </c>
      <c r="O56" s="24" t="inlineStr">
        <is>
          <t>5.5h</t>
        </is>
      </c>
    </row>
    <row r="57" ht="23.85" customHeight="1" s="25">
      <c r="A57" s="36" t="n">
        <v>53</v>
      </c>
      <c r="B57" s="38">
        <f>WORKDAY(Config!$B$5,ROUND((A57-1)*5/Config!$B$6,0))</f>
        <v/>
      </c>
      <c r="C57" s="36" t="n">
        <v>3</v>
      </c>
      <c r="D57" s="36" t="inlineStr">
        <is>
          <t>Availability Engine &amp; Services</t>
        </is>
      </c>
      <c r="E57" s="36" t="inlineStr">
        <is>
          <t>Reservation engine</t>
        </is>
      </c>
      <c r="F57" s="37" t="inlineStr">
        <is>
          <t>Concurrency suite: identical reservations</t>
        </is>
      </c>
      <c r="G57" s="36" t="inlineStr">
        <is>
          <t>N=50 parallel identical requests, both dialects</t>
        </is>
      </c>
      <c r="H57" s="36" t="inlineStr">
        <is>
          <t>Exactly one succeeds on each dialect</t>
        </is>
      </c>
      <c r="I57" s="36" t="inlineStr">
        <is>
          <t>GATE G3 core test — never waivable</t>
        </is>
      </c>
      <c r="J57" s="43" t="inlineStr">
        <is>
          <t>Not started</t>
        </is>
      </c>
      <c r="K57" s="43" t="n"/>
      <c r="L57" s="43" t="n"/>
      <c r="M57" s="44" t="inlineStr">
        <is>
          <t>D053</t>
        </is>
      </c>
      <c r="N57" s="44" t="inlineStr">
        <is>
          <t>D053</t>
        </is>
      </c>
      <c r="O57" s="24" t="inlineStr">
        <is>
          <t>5.5h</t>
        </is>
      </c>
    </row>
    <row r="58" ht="23.85" customHeight="1" s="25">
      <c r="A58" s="36" t="n">
        <v>54</v>
      </c>
      <c r="B58" s="38">
        <f>WORKDAY(Config!$B$5,ROUND((A58-1)*5/Config!$B$6,0))</f>
        <v/>
      </c>
      <c r="C58" s="36" t="n">
        <v>3</v>
      </c>
      <c r="D58" s="36" t="inlineStr">
        <is>
          <t>Availability Engine &amp; Services</t>
        </is>
      </c>
      <c r="E58" s="36" t="inlineStr">
        <is>
          <t>Reservation engine</t>
        </is>
      </c>
      <c r="F58" s="37" t="inlineStr">
        <is>
          <t>Concurrency suite: edge cases</t>
        </is>
      </c>
      <c r="G58" s="36" t="inlineStr">
        <is>
          <t>Adjacent, 1-second overlap, capacity&gt;1 resource</t>
        </is>
      </c>
      <c r="H58" s="36" t="inlineStr">
        <is>
          <t>Adjacent both succeed; overlap rejected; capacity-3 admits exactly 3</t>
        </is>
      </c>
      <c r="I58" s="36" t="inlineStr">
        <is>
          <t>Capacity path uses SELECT FOR UPDATE on the resource row</t>
        </is>
      </c>
      <c r="J58" s="43" t="inlineStr">
        <is>
          <t>Not started</t>
        </is>
      </c>
      <c r="K58" s="43" t="n"/>
      <c r="L58" s="43" t="n"/>
      <c r="M58" s="44" t="inlineStr">
        <is>
          <t>D054</t>
        </is>
      </c>
      <c r="N58" s="44" t="inlineStr">
        <is>
          <t>D054</t>
        </is>
      </c>
      <c r="O58" s="24" t="inlineStr">
        <is>
          <t>4.5h</t>
        </is>
      </c>
    </row>
    <row r="59" ht="23.85" customHeight="1" s="25">
      <c r="A59" s="36" t="n">
        <v>55</v>
      </c>
      <c r="B59" s="38">
        <f>WORKDAY(Config!$B$5,ROUND((A59-1)*5/Config!$B$6,0))</f>
        <v/>
      </c>
      <c r="C59" s="36" t="n">
        <v>3</v>
      </c>
      <c r="D59" s="36" t="inlineStr">
        <is>
          <t>Availability Engine &amp; Services</t>
        </is>
      </c>
      <c r="E59" s="36" t="inlineStr">
        <is>
          <t>Reservation engine</t>
        </is>
      </c>
      <c r="F59" s="37" t="inlineStr">
        <is>
          <t>Reservation state machine</t>
        </is>
      </c>
      <c r="G59" s="36" t="inlineStr">
        <is>
          <t>Domain state machine with transition guards</t>
        </is>
      </c>
      <c r="H59" s="36" t="inlineStr">
        <is>
          <t>Illegal transitions rejected; terminal states enforced</t>
        </is>
      </c>
      <c r="I59" s="36" t="inlineStr">
        <is>
          <t>State is never written directly — events drive transitions</t>
        </is>
      </c>
      <c r="J59" s="43" t="inlineStr">
        <is>
          <t>Not started</t>
        </is>
      </c>
      <c r="K59" s="43" t="n"/>
      <c r="L59" s="43" t="n"/>
      <c r="M59" s="44" t="inlineStr">
        <is>
          <t>D055</t>
        </is>
      </c>
      <c r="N59" s="44" t="inlineStr">
        <is>
          <t>D055</t>
        </is>
      </c>
      <c r="O59" s="24" t="inlineStr">
        <is>
          <t>2.5h</t>
        </is>
      </c>
    </row>
    <row r="60" ht="23.85" customHeight="1" s="25">
      <c r="A60" s="36" t="n">
        <v>56</v>
      </c>
      <c r="B60" s="38">
        <f>WORKDAY(Config!$B$5,ROUND((A60-1)*5/Config!$B$6,0))</f>
        <v/>
      </c>
      <c r="C60" s="36" t="n">
        <v>3</v>
      </c>
      <c r="D60" s="36" t="inlineStr">
        <is>
          <t>Availability Engine &amp; Services</t>
        </is>
      </c>
      <c r="E60" s="36" t="inlineStr">
        <is>
          <t>Reservation engine</t>
        </is>
      </c>
      <c r="F60" s="37" t="inlineStr">
        <is>
          <t>Hold expiry</t>
        </is>
      </c>
      <c r="G60" s="36" t="inlineStr">
        <is>
          <t>expires_at; lazy filter in every overlap query</t>
        </is>
      </c>
      <c r="H60" s="36" t="inlineStr">
        <is>
          <t>Expired hold does not block before the sweeper runs</t>
        </is>
      </c>
      <c r="I60" s="36" t="inlineStr">
        <is>
          <t>Lazy filter guarantees correctness independent of the job</t>
        </is>
      </c>
      <c r="J60" s="43" t="inlineStr">
        <is>
          <t>Not started</t>
        </is>
      </c>
      <c r="K60" s="43" t="n"/>
      <c r="L60" s="43" t="n"/>
      <c r="M60" s="44" t="inlineStr">
        <is>
          <t>D056</t>
        </is>
      </c>
      <c r="N60" s="44" t="inlineStr">
        <is>
          <t>D056</t>
        </is>
      </c>
      <c r="O60" s="24" t="inlineStr">
        <is>
          <t>2.5h</t>
        </is>
      </c>
    </row>
    <row r="61" ht="23.85" customHeight="1" s="25">
      <c r="A61" s="36" t="n">
        <v>57</v>
      </c>
      <c r="B61" s="38">
        <f>WORKDAY(Config!$B$5,ROUND((A61-1)*5/Config!$B$6,0))</f>
        <v/>
      </c>
      <c r="C61" s="36" t="n">
        <v>3</v>
      </c>
      <c r="D61" s="36" t="inlineStr">
        <is>
          <t>Availability Engine &amp; Services</t>
        </is>
      </c>
      <c r="E61" s="36" t="inlineStr">
        <is>
          <t>Reservation engine</t>
        </is>
      </c>
      <c r="F61" s="37" t="inlineStr">
        <is>
          <t>Sweeper job</t>
        </is>
      </c>
      <c r="G61" s="36" t="inlineStr">
        <is>
          <t>Scheduled expiry of holds; releases authorizations</t>
        </is>
      </c>
      <c r="H61" s="36" t="inlineStr">
        <is>
          <t>Idempotent; safe under concurrent runs</t>
        </is>
      </c>
      <c r="I61" s="36" t="inlineStr">
        <is>
          <t>Releases customer money promptly rather than letting holds lapse</t>
        </is>
      </c>
      <c r="J61" s="43" t="inlineStr">
        <is>
          <t>Not started</t>
        </is>
      </c>
      <c r="K61" s="43" t="n"/>
      <c r="L61" s="43" t="n"/>
      <c r="M61" s="44" t="inlineStr">
        <is>
          <t>D057</t>
        </is>
      </c>
      <c r="N61" s="44" t="inlineStr">
        <is>
          <t>D057</t>
        </is>
      </c>
      <c r="O61" s="24" t="inlineStr">
        <is>
          <t>4.5h</t>
        </is>
      </c>
    </row>
    <row r="62" ht="23.85" customHeight="1" s="25">
      <c r="A62" s="36" t="n">
        <v>58</v>
      </c>
      <c r="B62" s="38">
        <f>WORKDAY(Config!$B$5,ROUND((A62-1)*5/Config!$B$6,0))</f>
        <v/>
      </c>
      <c r="C62" s="36" t="n">
        <v>3</v>
      </c>
      <c r="D62" s="36" t="inlineStr">
        <is>
          <t>Availability Engine &amp; Services</t>
        </is>
      </c>
      <c r="E62" s="36" t="inlineStr">
        <is>
          <t>Services</t>
        </is>
      </c>
      <c r="F62" s="37" t="inlineStr">
        <is>
          <t>Resources and availability rules service</t>
        </is>
      </c>
      <c r="G62" s="36" t="inlineStr">
        <is>
          <t>CRUD for resources, rules, exceptions</t>
        </is>
      </c>
      <c r="H62" s="36" t="inlineStr">
        <is>
          <t>Tenant-scoped; authorization tested</t>
        </is>
      </c>
      <c r="I62" s="36" t="inlineStr">
        <is>
          <t>Staff resources contain personal data — classified in 08</t>
        </is>
      </c>
      <c r="J62" s="43" t="inlineStr">
        <is>
          <t>Not started</t>
        </is>
      </c>
      <c r="K62" s="43" t="n"/>
      <c r="L62" s="43" t="n"/>
      <c r="M62" s="44" t="inlineStr">
        <is>
          <t>D058</t>
        </is>
      </c>
      <c r="N62" s="44" t="inlineStr">
        <is>
          <t>D058</t>
        </is>
      </c>
      <c r="O62" s="24" t="inlineStr">
        <is>
          <t>2.5h</t>
        </is>
      </c>
    </row>
    <row r="63" ht="15" customHeight="1" s="25">
      <c r="A63" s="36" t="n">
        <v>59</v>
      </c>
      <c r="B63" s="38">
        <f>WORKDAY(Config!$B$5,ROUND((A63-1)*5/Config!$B$6,0))</f>
        <v/>
      </c>
      <c r="C63" s="36" t="n">
        <v>3</v>
      </c>
      <c r="D63" s="36" t="inlineStr">
        <is>
          <t>Availability Engine &amp; Services</t>
        </is>
      </c>
      <c r="E63" s="36" t="inlineStr">
        <is>
          <t>Services</t>
        </is>
      </c>
      <c r="F63" s="37" t="inlineStr">
        <is>
          <t>Service booking creation</t>
        </is>
      </c>
      <c r="G63" s="36" t="inlineStr">
        <is>
          <t>HELD to CONFIRMED flow for SERVICE mode</t>
        </is>
      </c>
      <c r="H63" s="36" t="inlineStr">
        <is>
          <t>Booking occupies the resource; conflict rejected</t>
        </is>
      </c>
      <c r="I63" s="36" t="inlineStr">
        <is>
          <t>Idempotency-Key required on creation</t>
        </is>
      </c>
      <c r="J63" s="43" t="inlineStr">
        <is>
          <t>Not started</t>
        </is>
      </c>
      <c r="K63" s="43" t="n"/>
      <c r="L63" s="43" t="n"/>
      <c r="M63" s="44" t="inlineStr">
        <is>
          <t>D059</t>
        </is>
      </c>
      <c r="N63" s="44" t="inlineStr">
        <is>
          <t>D059</t>
        </is>
      </c>
      <c r="O63" s="24" t="inlineStr">
        <is>
          <t>2.5h</t>
        </is>
      </c>
    </row>
    <row r="64" ht="23.85" customHeight="1" s="25">
      <c r="A64" s="36" t="n">
        <v>60</v>
      </c>
      <c r="B64" s="38">
        <f>WORKDAY(Config!$B$5,ROUND((A64-1)*5/Config!$B$6,0))</f>
        <v/>
      </c>
      <c r="C64" s="36" t="n">
        <v>3</v>
      </c>
      <c r="D64" s="36" t="inlineStr">
        <is>
          <t>Availability Engine &amp; Services</t>
        </is>
      </c>
      <c r="E64" s="36" t="inlineStr">
        <is>
          <t>Services</t>
        </is>
      </c>
      <c r="F64" s="37" t="inlineStr">
        <is>
          <t>Availability API endpoint</t>
        </is>
      </c>
      <c r="G64" s="36" t="inlineStr">
        <is>
          <t>GET availability with 90-day cap, caching, invalidation</t>
        </is>
      </c>
      <c r="H64" s="36" t="inlineStr">
        <is>
          <t>Cache invalidated on any reservation write for that subject</t>
        </is>
      </c>
      <c r="I64" s="36" t="inlineStr">
        <is>
          <t>Unauthenticated — tightest rate limit in the system</t>
        </is>
      </c>
      <c r="J64" s="43" t="inlineStr">
        <is>
          <t>Not started</t>
        </is>
      </c>
      <c r="K64" s="43" t="n"/>
      <c r="L64" s="43" t="n"/>
      <c r="M64" s="44" t="inlineStr">
        <is>
          <t>D060</t>
        </is>
      </c>
      <c r="N64" s="44" t="inlineStr">
        <is>
          <t>D060</t>
        </is>
      </c>
      <c r="O64" s="24" t="inlineStr">
        <is>
          <t>2.5h</t>
        </is>
      </c>
    </row>
    <row r="65" ht="23.85" customHeight="1" s="25">
      <c r="A65" s="36" t="n">
        <v>61</v>
      </c>
      <c r="B65" s="38">
        <f>WORKDAY(Config!$B$5,ROUND((A65-1)*5/Config!$B$6,0))</f>
        <v/>
      </c>
      <c r="C65" s="36" t="n">
        <v>3</v>
      </c>
      <c r="D65" s="36" t="inlineStr">
        <is>
          <t>Availability Engine &amp; Services</t>
        </is>
      </c>
      <c r="E65" s="36" t="inlineStr">
        <is>
          <t>Services</t>
        </is>
      </c>
      <c r="F65" s="37" t="inlineStr">
        <is>
          <t>Service booking endpoints</t>
        </is>
      </c>
      <c r="G65" s="36" t="inlineStr">
        <is>
          <t>Booking routes + privacy test</t>
        </is>
      </c>
      <c r="H65" s="36" t="inlineStr">
        <is>
          <t>Response never contains another customer's identity</t>
        </is>
      </c>
      <c r="I65" s="36" t="inlineStr">
        <is>
          <t>THREAT: information disclosure via availability response</t>
        </is>
      </c>
      <c r="J65" s="43" t="inlineStr">
        <is>
          <t>Not started</t>
        </is>
      </c>
      <c r="K65" s="43" t="n"/>
      <c r="L65" s="43" t="n"/>
      <c r="M65" s="44" t="inlineStr">
        <is>
          <t>D061</t>
        </is>
      </c>
      <c r="N65" s="44" t="inlineStr">
        <is>
          <t>D061</t>
        </is>
      </c>
      <c r="O65" s="24" t="inlineStr">
        <is>
          <t>2.5h</t>
        </is>
      </c>
    </row>
    <row r="66" ht="23.85" customHeight="1" s="25">
      <c r="A66" s="45" t="n">
        <v>62</v>
      </c>
      <c r="B66" s="46">
        <f>WORKDAY(Config!$B$5,ROUND((A66-1)*5/Config!$B$6,0))</f>
        <v/>
      </c>
      <c r="C66" s="45" t="n">
        <v>3</v>
      </c>
      <c r="D66" s="45" t="inlineStr">
        <is>
          <t>Availability Engine &amp; Services</t>
        </is>
      </c>
      <c r="E66" s="45" t="inlineStr">
        <is>
          <t>Services</t>
        </is>
      </c>
      <c r="F66" s="47" t="inlineStr">
        <is>
          <t>Hold exhaustion limits — GATE G3</t>
        </is>
      </c>
      <c r="G66" s="45" t="inlineStr">
        <is>
          <t>Per-IP and per-account concurrent-hold caps</t>
        </is>
      </c>
      <c r="H66" s="45" t="inlineStr">
        <is>
          <t>Anonymous cart cap enforced; abandonment monitored</t>
        </is>
      </c>
      <c r="I66" s="45" t="inlineStr">
        <is>
          <t>THREAT: DoS by reserving all inventory without paying</t>
        </is>
      </c>
      <c r="J66" s="43" t="inlineStr">
        <is>
          <t>Not started</t>
        </is>
      </c>
      <c r="K66" s="43" t="n"/>
      <c r="L66" s="43" t="n"/>
      <c r="M66" s="44" t="inlineStr">
        <is>
          <t>D062</t>
        </is>
      </c>
      <c r="N66" s="44" t="inlineStr">
        <is>
          <t>D062</t>
        </is>
      </c>
      <c r="O66" s="24" t="inlineStr">
        <is>
          <t>6.0h</t>
        </is>
      </c>
    </row>
    <row r="67" ht="23.85" customHeight="1" s="25">
      <c r="A67" s="36" t="n">
        <v>63</v>
      </c>
      <c r="B67" s="38">
        <f>WORKDAY(Config!$B$5,ROUND((A67-1)*5/Config!$B$6,0))</f>
        <v/>
      </c>
      <c r="C67" s="36" t="n">
        <v>4</v>
      </c>
      <c r="D67" s="36" t="inlineStr">
        <is>
          <t>Rentals, Deposits &amp; Returns</t>
        </is>
      </c>
      <c r="E67" s="36" t="inlineStr">
        <is>
          <t>Rental core</t>
        </is>
      </c>
      <c r="F67" s="37" t="inlineStr">
        <is>
          <t>Rental variant fields</t>
        </is>
      </c>
      <c r="G67" s="36" t="inlineStr">
        <is>
          <t>rate_period, deposit_minor, buffer_minutes</t>
        </is>
      </c>
      <c r="H67" s="36" t="inlineStr">
        <is>
          <t>Mode CHECK constraints enforce rental-only fields</t>
        </is>
      </c>
      <c r="I67" s="36" t="inlineStr">
        <is>
          <t>Deposit amount is server-authoritative</t>
        </is>
      </c>
      <c r="J67" s="43" t="inlineStr">
        <is>
          <t>Not started</t>
        </is>
      </c>
      <c r="K67" s="43" t="n"/>
      <c r="L67" s="43" t="n"/>
      <c r="M67" s="44" t="inlineStr">
        <is>
          <t>D063</t>
        </is>
      </c>
      <c r="N67" s="44" t="inlineStr">
        <is>
          <t>D063</t>
        </is>
      </c>
      <c r="O67" s="24" t="inlineStr">
        <is>
          <t>4.5h</t>
        </is>
      </c>
    </row>
    <row r="68" ht="23.85" customHeight="1" s="25">
      <c r="A68" s="36" t="n">
        <v>64</v>
      </c>
      <c r="B68" s="38">
        <f>WORKDAY(Config!$B$5,ROUND((A68-1)*5/Config!$B$6,0))</f>
        <v/>
      </c>
      <c r="C68" s="36" t="n">
        <v>4</v>
      </c>
      <c r="D68" s="36" t="inlineStr">
        <is>
          <t>Rentals, Deposits &amp; Returns</t>
        </is>
      </c>
      <c r="E68" s="36" t="inlineStr">
        <is>
          <t>Rental core</t>
        </is>
      </c>
      <c r="F68" s="37" t="inlineStr">
        <is>
          <t>Buffer expansion</t>
        </is>
      </c>
      <c r="G68" s="36" t="inlineStr">
        <is>
          <t>Interval expanded at write time; buffer stored on reservation</t>
        </is>
      </c>
      <c r="H68" s="36" t="inlineStr">
        <is>
          <t>Later variant buffer change does not alter existing bookings</t>
        </is>
      </c>
      <c r="I68" s="36" t="inlineStr">
        <is>
          <t>Stored buffer prevents retroactive schedule mutation</t>
        </is>
      </c>
      <c r="J68" s="43" t="inlineStr">
        <is>
          <t>Not started</t>
        </is>
      </c>
      <c r="K68" s="43" t="n"/>
      <c r="L68" s="43" t="n"/>
      <c r="M68" s="44" t="inlineStr">
        <is>
          <t>D064</t>
        </is>
      </c>
      <c r="N68" s="44" t="inlineStr">
        <is>
          <t>D064</t>
        </is>
      </c>
      <c r="O68" s="24" t="inlineStr">
        <is>
          <t>3.0h</t>
        </is>
      </c>
    </row>
    <row r="69" ht="23.85" customHeight="1" s="25">
      <c r="A69" s="36" t="n">
        <v>65</v>
      </c>
      <c r="B69" s="38">
        <f>WORKDAY(Config!$B$5,ROUND((A69-1)*5/Config!$B$6,0))</f>
        <v/>
      </c>
      <c r="C69" s="36" t="n">
        <v>4</v>
      </c>
      <c r="D69" s="36" t="inlineStr">
        <is>
          <t>Rentals, Deposits &amp; Returns</t>
        </is>
      </c>
      <c r="E69" s="36" t="inlineStr">
        <is>
          <t>Rental core</t>
        </is>
      </c>
      <c r="F69" s="37" t="inlineStr">
        <is>
          <t>Unit allocator</t>
        </is>
      </c>
      <c r="G69" s="36" t="inlineStr">
        <is>
          <t>Least-recently-returned-first selection</t>
        </is>
      </c>
      <c r="H69" s="36" t="inlineStr">
        <is>
          <t>Allocation spreads across fleet; deterministic under test</t>
        </is>
      </c>
      <c r="I69" s="36" t="inlineStr">
        <is>
          <t>Even wear and even utilization data</t>
        </is>
      </c>
      <c r="J69" s="43" t="inlineStr">
        <is>
          <t>Not started</t>
        </is>
      </c>
      <c r="K69" s="43" t="n"/>
      <c r="L69" s="43" t="n"/>
      <c r="M69" s="44" t="inlineStr">
        <is>
          <t>D065</t>
        </is>
      </c>
      <c r="N69" s="44" t="inlineStr">
        <is>
          <t>D065</t>
        </is>
      </c>
      <c r="O69" s="24" t="inlineStr">
        <is>
          <t>3.0h</t>
        </is>
      </c>
    </row>
    <row r="70" ht="15" customHeight="1" s="25">
      <c r="A70" s="36" t="n">
        <v>66</v>
      </c>
      <c r="B70" s="38">
        <f>WORKDAY(Config!$B$5,ROUND((A70-1)*5/Config!$B$6,0))</f>
        <v/>
      </c>
      <c r="C70" s="36" t="n">
        <v>4</v>
      </c>
      <c r="D70" s="36" t="inlineStr">
        <is>
          <t>Rentals, Deposits &amp; Returns</t>
        </is>
      </c>
      <c r="E70" s="36" t="inlineStr">
        <is>
          <t>Rental core</t>
        </is>
      </c>
      <c r="F70" s="37" t="inlineStr">
        <is>
          <t>Rental reservation creation</t>
        </is>
      </c>
      <c r="G70" s="36" t="inlineStr">
        <is>
          <t>Reservation against a serialized inventory unit</t>
        </is>
      </c>
      <c r="H70" s="36" t="inlineStr">
        <is>
          <t>Conflict rejected; allocator picks a free unit</t>
        </is>
      </c>
      <c r="I70" s="36" t="inlineStr">
        <is>
          <t>Idempotency-Key required</t>
        </is>
      </c>
      <c r="J70" s="43" t="inlineStr">
        <is>
          <t>Not started</t>
        </is>
      </c>
      <c r="K70" s="43" t="n"/>
      <c r="L70" s="43" t="n"/>
      <c r="M70" s="44" t="inlineStr">
        <is>
          <t>D066</t>
        </is>
      </c>
      <c r="N70" s="44" t="inlineStr">
        <is>
          <t>D066</t>
        </is>
      </c>
      <c r="O70" s="24" t="inlineStr">
        <is>
          <t>3.0h</t>
        </is>
      </c>
    </row>
    <row r="71" ht="15" customHeight="1" s="25">
      <c r="A71" s="36" t="n">
        <v>67</v>
      </c>
      <c r="B71" s="38">
        <f>WORKDAY(Config!$B$5,ROUND((A71-1)*5/Config!$B$6,0))</f>
        <v/>
      </c>
      <c r="C71" s="36" t="n">
        <v>4</v>
      </c>
      <c r="D71" s="36" t="inlineStr">
        <is>
          <t>Rentals, Deposits &amp; Returns</t>
        </is>
      </c>
      <c r="E71" s="36" t="inlineStr">
        <is>
          <t>Rental core</t>
        </is>
      </c>
      <c r="F71" s="37" t="inlineStr">
        <is>
          <t>Invariant I3: rented unit cannot be sold</t>
        </is>
      </c>
      <c r="G71" s="36" t="inlineStr">
        <is>
          <t>Sale-path check against blocking reservations</t>
        </is>
      </c>
      <c r="H71" s="36" t="inlineStr">
        <is>
          <t>Selling a currently-rented unit is rejected</t>
        </is>
      </c>
      <c r="I71" s="36" t="inlineStr">
        <is>
          <t>The invariant no competitor implements</t>
        </is>
      </c>
      <c r="J71" s="43" t="inlineStr">
        <is>
          <t>Not started</t>
        </is>
      </c>
      <c r="K71" s="43" t="n"/>
      <c r="L71" s="43" t="n"/>
      <c r="M71" s="44" t="inlineStr">
        <is>
          <t>D067</t>
        </is>
      </c>
      <c r="N71" s="44" t="inlineStr">
        <is>
          <t>D067</t>
        </is>
      </c>
      <c r="O71" s="24" t="inlineStr">
        <is>
          <t>3.5h</t>
        </is>
      </c>
    </row>
    <row r="72" ht="23.85" customHeight="1" s="25">
      <c r="A72" s="36" t="n">
        <v>68</v>
      </c>
      <c r="B72" s="38">
        <f>WORKDAY(Config!$B$5,ROUND((A72-1)*5/Config!$B$6,0))</f>
        <v/>
      </c>
      <c r="C72" s="36" t="n">
        <v>4</v>
      </c>
      <c r="D72" s="36" t="inlineStr">
        <is>
          <t>Rentals, Deposits &amp; Returns</t>
        </is>
      </c>
      <c r="E72" s="36" t="inlineStr">
        <is>
          <t>Rental core</t>
        </is>
      </c>
      <c r="F72" s="37" t="inlineStr">
        <is>
          <t>Invariant I4: sold unit cannot be reserved</t>
        </is>
      </c>
      <c r="G72" s="36" t="inlineStr">
        <is>
          <t>Reservation-path status check</t>
        </is>
      </c>
      <c r="H72" s="36" t="inlineStr">
        <is>
          <t>Reserving a SOLD or RETIRED unit is rejected</t>
        </is>
      </c>
      <c r="I72" s="36" t="inlineStr">
        <is>
          <t>Prevents renting an asset the merchant no longer owns</t>
        </is>
      </c>
      <c r="J72" s="43" t="inlineStr">
        <is>
          <t>Not started</t>
        </is>
      </c>
      <c r="K72" s="43" t="n"/>
      <c r="L72" s="43" t="n"/>
      <c r="M72" s="44" t="inlineStr">
        <is>
          <t>D068</t>
        </is>
      </c>
      <c r="N72" s="44" t="inlineStr">
        <is>
          <t>D068</t>
        </is>
      </c>
      <c r="O72" s="24" t="inlineStr">
        <is>
          <t>3.5h</t>
        </is>
      </c>
    </row>
    <row r="73" ht="23.85" customHeight="1" s="25">
      <c r="A73" s="36" t="n">
        <v>69</v>
      </c>
      <c r="B73" s="38">
        <f>WORKDAY(Config!$B$5,ROUND((A73-1)*5/Config!$B$6,0))</f>
        <v/>
      </c>
      <c r="C73" s="36" t="n">
        <v>4</v>
      </c>
      <c r="D73" s="36" t="inlineStr">
        <is>
          <t>Rentals, Deposits &amp; Returns</t>
        </is>
      </c>
      <c r="E73" s="36" t="inlineStr">
        <is>
          <t>Rental core</t>
        </is>
      </c>
      <c r="F73" s="37" t="inlineStr">
        <is>
          <t>Future-reservation sale override</t>
        </is>
      </c>
      <c r="G73" s="36" t="inlineStr">
        <is>
          <t>Warn, require explicit override, cancel and notify</t>
        </is>
      </c>
      <c r="H73" s="36" t="inlineStr">
        <is>
          <t>Override path cancels affected bookings and notifies customers</t>
        </is>
      </c>
      <c r="I73" s="36" t="inlineStr">
        <is>
          <t>Override is audit-logged with actor and reason</t>
        </is>
      </c>
      <c r="J73" s="43" t="inlineStr">
        <is>
          <t>Not started</t>
        </is>
      </c>
      <c r="K73" s="43" t="n"/>
      <c r="L73" s="43" t="n"/>
      <c r="M73" s="44" t="inlineStr">
        <is>
          <t>D069</t>
        </is>
      </c>
      <c r="N73" s="44" t="inlineStr">
        <is>
          <t>D069</t>
        </is>
      </c>
      <c r="O73" s="24" t="inlineStr">
        <is>
          <t>3.0h</t>
        </is>
      </c>
    </row>
    <row r="74" ht="15" customHeight="1" s="25">
      <c r="A74" s="36" t="n">
        <v>70</v>
      </c>
      <c r="B74" s="38">
        <f>WORKDAY(Config!$B$5,ROUND((A74-1)*5/Config!$B$6,0))</f>
        <v/>
      </c>
      <c r="C74" s="36" t="n">
        <v>4</v>
      </c>
      <c r="D74" s="36" t="inlineStr">
        <is>
          <t>Rentals, Deposits &amp; Returns</t>
        </is>
      </c>
      <c r="E74" s="36" t="inlineStr">
        <is>
          <t>Lifecycle</t>
        </is>
      </c>
      <c r="F74" s="37" t="inlineStr">
        <is>
          <t>Fulfillment events</t>
        </is>
      </c>
      <c r="G74" s="36" t="inlineStr">
        <is>
          <t>PICKED_UP and RETURNED event handlers</t>
        </is>
      </c>
      <c r="H74" s="36" t="inlineStr">
        <is>
          <t>Events recorded append-only with actor</t>
        </is>
      </c>
      <c r="I74" s="36" t="inlineStr">
        <is>
          <t>Event log is repudiation defence</t>
        </is>
      </c>
      <c r="J74" s="43" t="inlineStr">
        <is>
          <t>Not started</t>
        </is>
      </c>
      <c r="K74" s="43" t="n"/>
      <c r="L74" s="43" t="n"/>
      <c r="M74" s="44" t="inlineStr">
        <is>
          <t>D070</t>
        </is>
      </c>
      <c r="N74" s="44" t="inlineStr">
        <is>
          <t>D070</t>
        </is>
      </c>
      <c r="O74" s="24" t="inlineStr">
        <is>
          <t>3.0h</t>
        </is>
      </c>
    </row>
    <row r="75" ht="15" customHeight="1" s="25">
      <c r="A75" s="36" t="n">
        <v>71</v>
      </c>
      <c r="B75" s="38">
        <f>WORKDAY(Config!$B$5,ROUND((A75-1)*5/Config!$B$6,0))</f>
        <v/>
      </c>
      <c r="C75" s="36" t="n">
        <v>4</v>
      </c>
      <c r="D75" s="36" t="inlineStr">
        <is>
          <t>Rentals, Deposits &amp; Returns</t>
        </is>
      </c>
      <c r="E75" s="36" t="inlineStr">
        <is>
          <t>Lifecycle</t>
        </is>
      </c>
      <c r="F75" s="37" t="inlineStr">
        <is>
          <t>Event-driven state transitions</t>
        </is>
      </c>
      <c r="G75" s="36" t="inlineStr">
        <is>
          <t>Reservation state moves via events only</t>
        </is>
      </c>
      <c r="H75" s="36" t="inlineStr">
        <is>
          <t>Direct state write is rejected by the service layer</t>
        </is>
      </c>
      <c r="I75" s="36" t="inlineStr">
        <is>
          <t>Single path for state change simplifies audit</t>
        </is>
      </c>
      <c r="J75" s="43" t="inlineStr">
        <is>
          <t>Not started</t>
        </is>
      </c>
      <c r="K75" s="43" t="n"/>
      <c r="L75" s="43" t="n"/>
      <c r="M75" s="44" t="inlineStr">
        <is>
          <t>D071</t>
        </is>
      </c>
      <c r="N75" s="44" t="inlineStr">
        <is>
          <t>D071</t>
        </is>
      </c>
      <c r="O75" s="24" t="inlineStr">
        <is>
          <t>3.0h</t>
        </is>
      </c>
    </row>
    <row r="76" ht="23.85" customHeight="1" s="25">
      <c r="A76" s="36" t="n">
        <v>72</v>
      </c>
      <c r="B76" s="38">
        <f>WORKDAY(Config!$B$5,ROUND((A76-1)*5/Config!$B$6,0))</f>
        <v/>
      </c>
      <c r="C76" s="36" t="n">
        <v>4</v>
      </c>
      <c r="D76" s="36" t="inlineStr">
        <is>
          <t>Rentals, Deposits &amp; Returns</t>
        </is>
      </c>
      <c r="E76" s="36" t="inlineStr">
        <is>
          <t>Lifecycle</t>
        </is>
      </c>
      <c r="F76" s="37" t="inlineStr">
        <is>
          <t>Condition report: checkout</t>
        </is>
      </c>
      <c r="G76" s="36" t="inlineStr">
        <is>
          <t>CHECKOUT phase report required before IN_USE (I7)</t>
        </is>
      </c>
      <c r="H76" s="36" t="inlineStr">
        <is>
          <t>Transition to IN_USE without a report is rejected</t>
        </is>
      </c>
      <c r="I76" s="36" t="inlineStr">
        <is>
          <t>Without a baseline, a damage claim is unwinnable</t>
        </is>
      </c>
      <c r="J76" s="43" t="inlineStr">
        <is>
          <t>Not started</t>
        </is>
      </c>
      <c r="K76" s="43" t="n"/>
      <c r="L76" s="43" t="n"/>
      <c r="M76" s="44" t="inlineStr">
        <is>
          <t>D072</t>
        </is>
      </c>
      <c r="N76" s="44" t="inlineStr">
        <is>
          <t>D072</t>
        </is>
      </c>
      <c r="O76" s="24" t="inlineStr">
        <is>
          <t>4.5h</t>
        </is>
      </c>
    </row>
    <row r="77" ht="15" customHeight="1" s="25">
      <c r="A77" s="36" t="n">
        <v>73</v>
      </c>
      <c r="B77" s="38">
        <f>WORKDAY(Config!$B$5,ROUND((A77-1)*5/Config!$B$6,0))</f>
        <v/>
      </c>
      <c r="C77" s="36" t="n">
        <v>4</v>
      </c>
      <c r="D77" s="36" t="inlineStr">
        <is>
          <t>Rentals, Deposits &amp; Returns</t>
        </is>
      </c>
      <c r="E77" s="36" t="inlineStr">
        <is>
          <t>Lifecycle</t>
        </is>
      </c>
      <c r="F77" s="37" t="inlineStr">
        <is>
          <t>Condition media upload</t>
        </is>
      </c>
      <c r="G77" s="36" t="inlineStr">
        <is>
          <t>Signed upload URLs; content-type and size limits</t>
        </is>
      </c>
      <c r="H77" s="36" t="inlineStr">
        <is>
          <t>Oversized and wrong-type uploads rejected</t>
        </is>
      </c>
      <c r="I77" s="36" t="inlineStr">
        <is>
          <t>Private bucket, randomized keys, no public access</t>
        </is>
      </c>
      <c r="J77" s="43" t="inlineStr">
        <is>
          <t>Not started</t>
        </is>
      </c>
      <c r="K77" s="43" t="n"/>
      <c r="L77" s="43" t="n"/>
      <c r="M77" s="44" t="inlineStr">
        <is>
          <t>D073</t>
        </is>
      </c>
      <c r="N77" s="44" t="inlineStr">
        <is>
          <t>D073</t>
        </is>
      </c>
      <c r="O77" s="24" t="inlineStr">
        <is>
          <t>3.0h</t>
        </is>
      </c>
    </row>
    <row r="78" ht="23.85" customHeight="1" s="25">
      <c r="A78" s="36" t="n">
        <v>74</v>
      </c>
      <c r="B78" s="38">
        <f>WORKDAY(Config!$B$5,ROUND((A78-1)*5/Config!$B$6,0))</f>
        <v/>
      </c>
      <c r="C78" s="36" t="n">
        <v>4</v>
      </c>
      <c r="D78" s="36" t="inlineStr">
        <is>
          <t>Rentals, Deposits &amp; Returns</t>
        </is>
      </c>
      <c r="E78" s="36" t="inlineStr">
        <is>
          <t>Lifecycle</t>
        </is>
      </c>
      <c r="F78" s="37" t="inlineStr">
        <is>
          <t>Condition media integrity</t>
        </is>
      </c>
      <c r="G78" s="36" t="inlineStr">
        <is>
          <t>SHA-256 recorded at upload; keys never overwritten</t>
        </is>
      </c>
      <c r="H78" s="36" t="inlineStr">
        <is>
          <t>Hash mismatch detected; overwrite attempt rejected</t>
        </is>
      </c>
      <c r="I78" s="36" t="inlineStr">
        <is>
          <t>THREAT: tampering with dispute evidence</t>
        </is>
      </c>
      <c r="J78" s="43" t="inlineStr">
        <is>
          <t>Not started</t>
        </is>
      </c>
      <c r="K78" s="43" t="n"/>
      <c r="L78" s="43" t="n"/>
      <c r="M78" s="44" t="inlineStr">
        <is>
          <t>D074</t>
        </is>
      </c>
      <c r="N78" s="44" t="inlineStr">
        <is>
          <t>D074</t>
        </is>
      </c>
      <c r="O78" s="24" t="inlineStr">
        <is>
          <t>3.0h</t>
        </is>
      </c>
    </row>
    <row r="79" ht="23.85" customHeight="1" s="25">
      <c r="A79" s="36" t="n">
        <v>75</v>
      </c>
      <c r="B79" s="38">
        <f>WORKDAY(Config!$B$5,ROUND((A79-1)*5/Config!$B$6,0))</f>
        <v/>
      </c>
      <c r="C79" s="36" t="n">
        <v>4</v>
      </c>
      <c r="D79" s="36" t="inlineStr">
        <is>
          <t>Rentals, Deposits &amp; Returns</t>
        </is>
      </c>
      <c r="E79" s="36" t="inlineStr">
        <is>
          <t>Lifecycle</t>
        </is>
      </c>
      <c r="F79" s="37" t="inlineStr">
        <is>
          <t>Condition report: check-in</t>
        </is>
      </c>
      <c r="G79" s="36" t="inlineStr">
        <is>
          <t>CHECKIN phase with condition grade comparison</t>
        </is>
      </c>
      <c r="H79" s="36" t="inlineStr">
        <is>
          <t>Grade delta surfaced to merchant</t>
        </is>
      </c>
      <c r="I79" s="36" t="inlineStr">
        <is>
          <t>Both-phase evidence supports or defeats a claim fairly</t>
        </is>
      </c>
      <c r="J79" s="43" t="inlineStr">
        <is>
          <t>Not started</t>
        </is>
      </c>
      <c r="K79" s="43" t="n"/>
      <c r="L79" s="43" t="n"/>
      <c r="M79" s="44" t="inlineStr">
        <is>
          <t>D075</t>
        </is>
      </c>
      <c r="N79" s="44" t="inlineStr">
        <is>
          <t>D075</t>
        </is>
      </c>
      <c r="O79" s="24" t="inlineStr">
        <is>
          <t>4.5h</t>
        </is>
      </c>
    </row>
    <row r="80" ht="23.85" customHeight="1" s="25">
      <c r="A80" s="36" t="n">
        <v>76</v>
      </c>
      <c r="B80" s="38">
        <f>WORKDAY(Config!$B$5,ROUND((A80-1)*5/Config!$B$6,0))</f>
        <v/>
      </c>
      <c r="C80" s="36" t="n">
        <v>4</v>
      </c>
      <c r="D80" s="36" t="inlineStr">
        <is>
          <t>Rentals, Deposits &amp; Returns</t>
        </is>
      </c>
      <c r="E80" s="36" t="inlineStr">
        <is>
          <t>Lifecycle</t>
        </is>
      </c>
      <c r="F80" s="37" t="inlineStr">
        <is>
          <t>Damage claim</t>
        </is>
      </c>
      <c r="G80" s="36" t="inlineStr">
        <is>
          <t>Create, state machine, customer notification</t>
        </is>
      </c>
      <c r="H80" s="36" t="inlineStr">
        <is>
          <t>Claim states transition legally; customer notified</t>
        </is>
      </c>
      <c r="I80" s="36" t="inlineStr">
        <is>
          <t>Customer can see and respond to a claim against them</t>
        </is>
      </c>
      <c r="J80" s="43" t="inlineStr">
        <is>
          <t>Not started</t>
        </is>
      </c>
      <c r="K80" s="43" t="n"/>
      <c r="L80" s="43" t="n"/>
      <c r="M80" s="44" t="inlineStr">
        <is>
          <t>D076</t>
        </is>
      </c>
      <c r="N80" s="44" t="inlineStr">
        <is>
          <t>D076</t>
        </is>
      </c>
      <c r="O80" s="24" t="inlineStr">
        <is>
          <t>4.5h</t>
        </is>
      </c>
    </row>
    <row r="81" ht="23.85" customHeight="1" s="25">
      <c r="A81" s="36" t="n">
        <v>77</v>
      </c>
      <c r="B81" s="38">
        <f>WORKDAY(Config!$B$5,ROUND((A81-1)*5/Config!$B$6,0))</f>
        <v/>
      </c>
      <c r="C81" s="36" t="n">
        <v>4</v>
      </c>
      <c r="D81" s="36" t="inlineStr">
        <is>
          <t>Rentals, Deposits &amp; Returns</t>
        </is>
      </c>
      <c r="E81" s="36" t="inlineStr">
        <is>
          <t>Deposits</t>
        </is>
      </c>
      <c r="F81" s="37" t="inlineStr">
        <is>
          <t>Deposit state machine</t>
        </is>
      </c>
      <c r="G81" s="36" t="inlineStr">
        <is>
          <t>Domain machine: AUTHORIZED to RELEASED/CAPTURED/PARTIAL/EXPIRED</t>
        </is>
      </c>
      <c r="H81" s="36" t="inlineStr">
        <is>
          <t>Illegal transitions rejected</t>
        </is>
      </c>
      <c r="I81" s="36" t="inlineStr">
        <is>
          <t>Every transition audit-logged</t>
        </is>
      </c>
      <c r="J81" s="43" t="inlineStr">
        <is>
          <t>Not started</t>
        </is>
      </c>
      <c r="K81" s="43" t="n"/>
      <c r="L81" s="43" t="n"/>
      <c r="M81" s="44" t="inlineStr">
        <is>
          <t>D077</t>
        </is>
      </c>
      <c r="N81" s="44" t="inlineStr">
        <is>
          <t>D077</t>
        </is>
      </c>
      <c r="O81" s="24" t="inlineStr">
        <is>
          <t>4.5h</t>
        </is>
      </c>
    </row>
    <row r="82" ht="23.85" customHeight="1" s="25">
      <c r="A82" s="36" t="n">
        <v>78</v>
      </c>
      <c r="B82" s="38">
        <f>WORKDAY(Config!$B$5,ROUND((A82-1)*5/Config!$B$6,0))</f>
        <v/>
      </c>
      <c r="C82" s="36" t="n">
        <v>4</v>
      </c>
      <c r="D82" s="36" t="inlineStr">
        <is>
          <t>Rentals, Deposits &amp; Returns</t>
        </is>
      </c>
      <c r="E82" s="36" t="inlineStr">
        <is>
          <t>Deposits</t>
        </is>
      </c>
      <c r="F82" s="37" t="inlineStr">
        <is>
          <t>Single-capture and bounds</t>
        </is>
      </c>
      <c r="G82" s="36" t="inlineStr">
        <is>
          <t>One capture attempt; amount bounded by authorization</t>
        </is>
      </c>
      <c r="H82" s="36" t="inlineStr">
        <is>
          <t>Second capture rejected; over-capture rejected</t>
        </is>
      </c>
      <c r="I82" s="36" t="inlineStr">
        <is>
          <t>THREAT: deposit amount tampering. Critical control</t>
        </is>
      </c>
      <c r="J82" s="43" t="inlineStr">
        <is>
          <t>Not started</t>
        </is>
      </c>
      <c r="K82" s="43" t="n"/>
      <c r="L82" s="43" t="n"/>
      <c r="M82" s="44" t="inlineStr">
        <is>
          <t>D078</t>
        </is>
      </c>
      <c r="N82" s="44" t="inlineStr">
        <is>
          <t>D078</t>
        </is>
      </c>
      <c r="O82" s="24" t="inlineStr">
        <is>
          <t>4.5h</t>
        </is>
      </c>
    </row>
    <row r="83" ht="23.85" customHeight="1" s="25">
      <c r="A83" s="36" t="n">
        <v>79</v>
      </c>
      <c r="B83" s="38">
        <f>WORKDAY(Config!$B$5,ROUND((A83-1)*5/Config!$B$6,0))</f>
        <v/>
      </c>
      <c r="C83" s="36" t="n">
        <v>4</v>
      </c>
      <c r="D83" s="36" t="inlineStr">
        <is>
          <t>Rentals, Deposits &amp; Returns</t>
        </is>
      </c>
      <c r="E83" s="36" t="inlineStr">
        <is>
          <t>Deposits</t>
        </is>
      </c>
      <c r="F83" s="37" t="inlineStr">
        <is>
          <t>Authorization window ceiling</t>
        </is>
      </c>
      <c r="G83" s="36" t="inlineStr">
        <is>
          <t>Provider window recorded; rental term validated against it</t>
        </is>
      </c>
      <c r="H83" s="36" t="inlineStr">
        <is>
          <t>Rental beyond the window is rejected at configuration with guidance</t>
        </is>
      </c>
      <c r="I83" s="36" t="inlineStr">
        <is>
          <t>Product constraint surfaced in UI, not discovered in production</t>
        </is>
      </c>
      <c r="J83" s="43" t="inlineStr">
        <is>
          <t>Not started</t>
        </is>
      </c>
      <c r="K83" s="43" t="n"/>
      <c r="L83" s="43" t="n"/>
      <c r="M83" s="44" t="inlineStr">
        <is>
          <t>D079</t>
        </is>
      </c>
      <c r="N83" s="44" t="inlineStr">
        <is>
          <t>D079</t>
        </is>
      </c>
      <c r="O83" s="24" t="inlineStr">
        <is>
          <t>3.0h</t>
        </is>
      </c>
    </row>
    <row r="84" ht="23.85" customHeight="1" s="25">
      <c r="A84" s="36" t="n">
        <v>80</v>
      </c>
      <c r="B84" s="38">
        <f>WORKDAY(Config!$B$5,ROUND((A84-1)*5/Config!$B$6,0))</f>
        <v/>
      </c>
      <c r="C84" s="36" t="n">
        <v>4</v>
      </c>
      <c r="D84" s="36" t="inlineStr">
        <is>
          <t>Rentals, Deposits &amp; Returns</t>
        </is>
      </c>
      <c r="E84" s="36" t="inlineStr">
        <is>
          <t>Deposits</t>
        </is>
      </c>
      <c r="F84" s="37" t="inlineStr">
        <is>
          <t>Deposit auto-release job</t>
        </is>
      </c>
      <c r="G84" s="36" t="inlineStr">
        <is>
          <t>Scheduled release when completed with no claim</t>
        </is>
      </c>
      <c r="H84" s="36" t="inlineStr">
        <is>
          <t>Hold released before expiry; customer notified</t>
        </is>
      </c>
      <c r="I84" s="36" t="inlineStr">
        <is>
          <t>Never let a hold silently lapse on a customer's card</t>
        </is>
      </c>
      <c r="J84" s="43" t="inlineStr">
        <is>
          <t>Not started</t>
        </is>
      </c>
      <c r="K84" s="43" t="n"/>
      <c r="L84" s="43" t="n"/>
      <c r="M84" s="44" t="inlineStr">
        <is>
          <t>D080</t>
        </is>
      </c>
      <c r="N84" s="44" t="inlineStr">
        <is>
          <t>D080</t>
        </is>
      </c>
      <c r="O84" s="24" t="inlineStr">
        <is>
          <t>4.5h</t>
        </is>
      </c>
    </row>
    <row r="85" ht="23.85" customHeight="1" s="25">
      <c r="A85" s="36" t="n">
        <v>81</v>
      </c>
      <c r="B85" s="38">
        <f>WORKDAY(Config!$B$5,ROUND((A85-1)*5/Config!$B$6,0))</f>
        <v/>
      </c>
      <c r="C85" s="36" t="n">
        <v>4</v>
      </c>
      <c r="D85" s="36" t="inlineStr">
        <is>
          <t>Rentals, Deposits &amp; Returns</t>
        </is>
      </c>
      <c r="E85" s="36" t="inlineStr">
        <is>
          <t>Exceptions</t>
        </is>
      </c>
      <c r="F85" s="37" t="inlineStr">
        <is>
          <t>Late return detection</t>
        </is>
      </c>
      <c r="G85" s="36" t="inlineStr">
        <is>
          <t>Overdue derived state; merchant and customer notified</t>
        </is>
      </c>
      <c r="H85" s="36" t="inlineStr">
        <is>
          <t>Overdue detected without a stored state field</t>
        </is>
      </c>
      <c r="I85" s="36" t="inlineStr">
        <is>
          <t>Overdue is derived — no state drift</t>
        </is>
      </c>
      <c r="J85" s="43" t="inlineStr">
        <is>
          <t>Not started</t>
        </is>
      </c>
      <c r="K85" s="43" t="n"/>
      <c r="L85" s="43" t="n"/>
      <c r="M85" s="44" t="inlineStr">
        <is>
          <t>D081</t>
        </is>
      </c>
      <c r="N85" s="44" t="inlineStr">
        <is>
          <t>D081</t>
        </is>
      </c>
      <c r="O85" s="24" t="inlineStr">
        <is>
          <t>3.0h</t>
        </is>
      </c>
    </row>
    <row r="86" ht="23.85" customHeight="1" s="25">
      <c r="A86" s="36" t="n">
        <v>82</v>
      </c>
      <c r="B86" s="38">
        <f>WORKDAY(Config!$B$5,ROUND((A86-1)*5/Config!$B$6,0))</f>
        <v/>
      </c>
      <c r="C86" s="36" t="n">
        <v>4</v>
      </c>
      <c r="D86" s="36" t="inlineStr">
        <is>
          <t>Rentals, Deposits &amp; Returns</t>
        </is>
      </c>
      <c r="E86" s="36" t="inlineStr">
        <is>
          <t>Exceptions</t>
        </is>
      </c>
      <c r="F86" s="37" t="inlineStr">
        <is>
          <t>Downstream conflict alerts</t>
        </is>
      </c>
      <c r="G86" s="36" t="inlineStr">
        <is>
          <t>Detect and alert on affected following bookings</t>
        </is>
      </c>
      <c r="H86" s="36" t="inlineStr">
        <is>
          <t>Alert names the specific affected booking and contact</t>
        </is>
      </c>
      <c r="I86" s="36" t="inlineStr">
        <is>
          <t>A late return is a double-booking that already happened</t>
        </is>
      </c>
      <c r="J86" s="43" t="inlineStr">
        <is>
          <t>Not started</t>
        </is>
      </c>
      <c r="K86" s="43" t="n"/>
      <c r="L86" s="43" t="n"/>
      <c r="M86" s="44" t="inlineStr">
        <is>
          <t>D082</t>
        </is>
      </c>
      <c r="N86" s="44" t="inlineStr">
        <is>
          <t>D082</t>
        </is>
      </c>
      <c r="O86" s="24" t="inlineStr">
        <is>
          <t>3.0h</t>
        </is>
      </c>
    </row>
    <row r="87" ht="23.85" customHeight="1" s="25">
      <c r="A87" s="36" t="n">
        <v>83</v>
      </c>
      <c r="B87" s="38">
        <f>WORKDAY(Config!$B$5,ROUND((A87-1)*5/Config!$B$6,0))</f>
        <v/>
      </c>
      <c r="C87" s="36" t="n">
        <v>4</v>
      </c>
      <c r="D87" s="36" t="inlineStr">
        <is>
          <t>Rentals, Deposits &amp; Returns</t>
        </is>
      </c>
      <c r="E87" s="36" t="inlineStr">
        <is>
          <t>Exceptions</t>
        </is>
      </c>
      <c r="F87" s="37" t="inlineStr">
        <is>
          <t>Late fee policy</t>
        </is>
      </c>
      <c r="G87" s="36" t="inlineStr">
        <is>
          <t>Applied on merchant confirmation, not automatically</t>
        </is>
      </c>
      <c r="H87" s="36" t="inlineStr">
        <is>
          <t>No automatic charge without merchant action</t>
        </is>
      </c>
      <c r="I87" s="36" t="inlineStr">
        <is>
          <t>Automatic charging without review invites chargebacks</t>
        </is>
      </c>
      <c r="J87" s="43" t="inlineStr">
        <is>
          <t>Not started</t>
        </is>
      </c>
      <c r="K87" s="43" t="n"/>
      <c r="L87" s="43" t="n"/>
      <c r="M87" s="44" t="inlineStr">
        <is>
          <t>D083</t>
        </is>
      </c>
      <c r="N87" s="44" t="inlineStr">
        <is>
          <t>D083</t>
        </is>
      </c>
      <c r="O87" s="24" t="inlineStr">
        <is>
          <t>3.0h</t>
        </is>
      </c>
    </row>
    <row r="88" ht="23.85" customHeight="1" s="25">
      <c r="A88" s="36" t="n">
        <v>84</v>
      </c>
      <c r="B88" s="38">
        <f>WORKDAY(Config!$B$5,ROUND((A88-1)*5/Config!$B$6,0))</f>
        <v/>
      </c>
      <c r="C88" s="36" t="n">
        <v>4</v>
      </c>
      <c r="D88" s="36" t="inlineStr">
        <is>
          <t>Rentals, Deposits &amp; Returns</t>
        </is>
      </c>
      <c r="E88" s="36" t="inlineStr">
        <is>
          <t>Exceptions</t>
        </is>
      </c>
      <c r="F88" s="37" t="inlineStr">
        <is>
          <t>Rental cancellation and refunds</t>
        </is>
      </c>
      <c r="G88" s="36" t="inlineStr">
        <is>
          <t>Per-mode cancellation policy configuration</t>
        </is>
      </c>
      <c r="H88" s="36" t="inlineStr">
        <is>
          <t>Product, service, and rental policies configured separately</t>
        </is>
      </c>
      <c r="I88" s="36" t="inlineStr">
        <is>
          <t>Three different policies, never forced into one rule</t>
        </is>
      </c>
      <c r="J88" s="43" t="inlineStr">
        <is>
          <t>Not started</t>
        </is>
      </c>
      <c r="K88" s="43" t="n"/>
      <c r="L88" s="43" t="n"/>
      <c r="M88" s="44" t="inlineStr">
        <is>
          <t>D084</t>
        </is>
      </c>
      <c r="N88" s="44" t="inlineStr">
        <is>
          <t>D084</t>
        </is>
      </c>
      <c r="O88" s="24" t="inlineStr">
        <is>
          <t>3.0h</t>
        </is>
      </c>
    </row>
    <row r="89" ht="23.85" customHeight="1" s="25">
      <c r="A89" s="36" t="n">
        <v>85</v>
      </c>
      <c r="B89" s="38">
        <f>WORKDAY(Config!$B$5,ROUND((A89-1)*5/Config!$B$6,0))</f>
        <v/>
      </c>
      <c r="C89" s="36" t="n">
        <v>4</v>
      </c>
      <c r="D89" s="36" t="inlineStr">
        <is>
          <t>Rentals, Deposits &amp; Returns</t>
        </is>
      </c>
      <c r="E89" s="36" t="inlineStr">
        <is>
          <t>Exceptions</t>
        </is>
      </c>
      <c r="F89" s="37" t="inlineStr">
        <is>
          <t>Media retention job</t>
        </is>
      </c>
      <c r="G89" s="36" t="inlineStr">
        <is>
          <t>90-day / 2-year retention with dry-run and deletion audit</t>
        </is>
      </c>
      <c r="H89" s="36" t="inlineStr">
        <is>
          <t>Dry run lists correctly; deletion writes an audit record</t>
        </is>
      </c>
      <c r="I89" s="36" t="inlineStr">
        <is>
          <t>Retention set when the feature ships, not deferred</t>
        </is>
      </c>
      <c r="J89" s="43" t="inlineStr">
        <is>
          <t>Not started</t>
        </is>
      </c>
      <c r="K89" s="43" t="n"/>
      <c r="L89" s="43" t="n"/>
      <c r="M89" s="44" t="inlineStr">
        <is>
          <t>D085</t>
        </is>
      </c>
      <c r="N89" s="44" t="inlineStr">
        <is>
          <t>D085</t>
        </is>
      </c>
      <c r="O89" s="24" t="inlineStr">
        <is>
          <t>3.0h</t>
        </is>
      </c>
    </row>
    <row r="90" ht="23.85" customHeight="1" s="25">
      <c r="A90" s="45" t="n">
        <v>86</v>
      </c>
      <c r="B90" s="46">
        <f>WORKDAY(Config!$B$5,ROUND((A90-1)*5/Config!$B$6,0))</f>
        <v/>
      </c>
      <c r="C90" s="45" t="n">
        <v>4</v>
      </c>
      <c r="D90" s="45" t="inlineStr">
        <is>
          <t>Rentals, Deposits &amp; Returns</t>
        </is>
      </c>
      <c r="E90" s="45" t="inlineStr">
        <is>
          <t>Exceptions</t>
        </is>
      </c>
      <c r="F90" s="47" t="inlineStr">
        <is>
          <t>Rental lifecycle E2E — GATE G4</t>
        </is>
      </c>
      <c r="G90" s="45" t="inlineStr">
        <is>
          <t>Full lifecycle test: reserve, checkout, use, return, settle</t>
        </is>
      </c>
      <c r="H90" s="45" t="inlineStr">
        <is>
          <t>All invariants I3, I4, I7 hold end to end</t>
        </is>
      </c>
      <c r="I90" s="45" t="inlineStr">
        <is>
          <t>G4 record filed with test evidence</t>
        </is>
      </c>
      <c r="J90" s="43" t="inlineStr">
        <is>
          <t>Not started</t>
        </is>
      </c>
      <c r="K90" s="43" t="n"/>
      <c r="L90" s="43" t="n"/>
      <c r="M90" s="44" t="inlineStr">
        <is>
          <t>D086</t>
        </is>
      </c>
      <c r="N90" s="44" t="inlineStr">
        <is>
          <t>D086</t>
        </is>
      </c>
      <c r="O90" s="24" t="inlineStr">
        <is>
          <t>5.0h</t>
        </is>
      </c>
    </row>
    <row r="91" ht="23.85" customHeight="1" s="25">
      <c r="A91" s="36" t="n">
        <v>87</v>
      </c>
      <c r="B91" s="38">
        <f>WORKDAY(Config!$B$5,ROUND((A91-1)*5/Config!$B$6,0))</f>
        <v/>
      </c>
      <c r="C91" s="36" t="n">
        <v>5</v>
      </c>
      <c r="D91" s="36" t="inlineStr">
        <is>
          <t>Payments — Stripe Connect</t>
        </is>
      </c>
      <c r="E91" s="36" t="inlineStr">
        <is>
          <t>Stripe Connect</t>
        </is>
      </c>
      <c r="F91" s="37" t="inlineStr">
        <is>
          <t>Connect platform setup</t>
        </is>
      </c>
      <c r="G91" s="36" t="inlineStr">
        <is>
          <t>Platform account; connected-account onboarding flow</t>
        </is>
      </c>
      <c r="H91" s="36" t="inlineStr">
        <is>
          <t>A test merchant completes onboarding</t>
        </is>
      </c>
      <c r="I91" s="36" t="inlineStr">
        <is>
          <t>Provider holds funds — reduces money-transmitter exposure</t>
        </is>
      </c>
      <c r="J91" s="43" t="inlineStr">
        <is>
          <t>Not started</t>
        </is>
      </c>
      <c r="K91" s="43" t="n"/>
      <c r="L91" s="43" t="n"/>
      <c r="M91" s="44" t="inlineStr">
        <is>
          <t>D087</t>
        </is>
      </c>
      <c r="N91" s="44" t="inlineStr">
        <is>
          <t>D087</t>
        </is>
      </c>
      <c r="O91" s="24" t="inlineStr">
        <is>
          <t>2.5h</t>
        </is>
      </c>
    </row>
    <row r="92" ht="15" customHeight="1" s="25">
      <c r="A92" s="36" t="n">
        <v>88</v>
      </c>
      <c r="B92" s="38">
        <f>WORKDAY(Config!$B$5,ROUND((A92-1)*5/Config!$B$6,0))</f>
        <v/>
      </c>
      <c r="C92" s="36" t="n">
        <v>5</v>
      </c>
      <c r="D92" s="36" t="inlineStr">
        <is>
          <t>Payments — Stripe Connect</t>
        </is>
      </c>
      <c r="E92" s="36" t="inlineStr">
        <is>
          <t>Stripe Connect</t>
        </is>
      </c>
      <c r="F92" s="37" t="inlineStr">
        <is>
          <t>Payments schema wiring</t>
        </is>
      </c>
      <c r="G92" s="36" t="inlineStr">
        <is>
          <t>Payment records; provider_ref uniqueness</t>
        </is>
      </c>
      <c r="H92" s="36" t="inlineStr">
        <is>
          <t>Duplicate provider_ref rejected</t>
        </is>
      </c>
      <c r="I92" s="36" t="inlineStr">
        <is>
          <t>provider_ref is the idempotency anchor</t>
        </is>
      </c>
      <c r="J92" s="43" t="inlineStr">
        <is>
          <t>Not started</t>
        </is>
      </c>
      <c r="K92" s="43" t="n"/>
      <c r="L92" s="43" t="n"/>
      <c r="M92" s="44" t="inlineStr">
        <is>
          <t>D088</t>
        </is>
      </c>
      <c r="N92" s="44" t="inlineStr">
        <is>
          <t>D088</t>
        </is>
      </c>
      <c r="O92" s="24" t="inlineStr">
        <is>
          <t>3.5h</t>
        </is>
      </c>
    </row>
    <row r="93" ht="15" customHeight="1" s="25">
      <c r="A93" s="36" t="n">
        <v>89</v>
      </c>
      <c r="B93" s="38">
        <f>WORKDAY(Config!$B$5,ROUND((A93-1)*5/Config!$B$6,0))</f>
        <v/>
      </c>
      <c r="C93" s="36" t="n">
        <v>5</v>
      </c>
      <c r="D93" s="36" t="inlineStr">
        <is>
          <t>Payments — Stripe Connect</t>
        </is>
      </c>
      <c r="E93" s="36" t="inlineStr">
        <is>
          <t>Stripe Connect</t>
        </is>
      </c>
      <c r="F93" s="37" t="inlineStr">
        <is>
          <t>Checkout PaymentIntent</t>
        </is>
      </c>
      <c r="G93" s="36" t="inlineStr">
        <is>
          <t>Intent creation with application-fee split</t>
        </is>
      </c>
      <c r="H93" s="36" t="inlineStr">
        <is>
          <t>Split lands correctly on a test transaction</t>
        </is>
      </c>
      <c r="I93" s="36" t="inlineStr">
        <is>
          <t>Amounts computed server-side only</t>
        </is>
      </c>
      <c r="J93" s="43" t="inlineStr">
        <is>
          <t>Not started</t>
        </is>
      </c>
      <c r="K93" s="43" t="n"/>
      <c r="L93" s="43" t="n"/>
      <c r="M93" s="44" t="inlineStr">
        <is>
          <t>D089</t>
        </is>
      </c>
      <c r="N93" s="44" t="inlineStr">
        <is>
          <t>D089</t>
        </is>
      </c>
      <c r="O93" s="24" t="inlineStr">
        <is>
          <t>3.5h</t>
        </is>
      </c>
    </row>
    <row r="94" ht="23.85" customHeight="1" s="25">
      <c r="A94" s="36" t="n">
        <v>90</v>
      </c>
      <c r="B94" s="38">
        <f>WORKDAY(Config!$B$5,ROUND((A94-1)*5/Config!$B$6,0))</f>
        <v/>
      </c>
      <c r="C94" s="36" t="n">
        <v>5</v>
      </c>
      <c r="D94" s="36" t="inlineStr">
        <is>
          <t>Payments — Stripe Connect</t>
        </is>
      </c>
      <c r="E94" s="36" t="inlineStr">
        <is>
          <t>Stripe Connect</t>
        </is>
      </c>
      <c r="F94" s="37" t="inlineStr">
        <is>
          <t>Idempotency keys</t>
        </is>
      </c>
      <c r="G94" s="36" t="inlineStr">
        <is>
          <t>Required on all money-moving and reservation POSTs</t>
        </is>
      </c>
      <c r="H94" s="36" t="inlineStr">
        <is>
          <t>Replayed request returns the original result, no duplicate</t>
        </is>
      </c>
      <c r="I94" s="36" t="inlineStr">
        <is>
          <t>Mobile retries on poor connections — non-negotiable</t>
        </is>
      </c>
      <c r="J94" s="43" t="inlineStr">
        <is>
          <t>Not started</t>
        </is>
      </c>
      <c r="K94" s="43" t="n"/>
      <c r="L94" s="43" t="n"/>
      <c r="M94" s="44" t="inlineStr">
        <is>
          <t>D090</t>
        </is>
      </c>
      <c r="N94" s="44" t="inlineStr">
        <is>
          <t>D090</t>
        </is>
      </c>
      <c r="O94" s="24" t="inlineStr">
        <is>
          <t>2.5h</t>
        </is>
      </c>
    </row>
    <row r="95" ht="23.85" customHeight="1" s="25">
      <c r="A95" s="36" t="n">
        <v>91</v>
      </c>
      <c r="B95" s="38">
        <f>WORKDAY(Config!$B$5,ROUND((A95-1)*5/Config!$B$6,0))</f>
        <v/>
      </c>
      <c r="C95" s="36" t="n">
        <v>5</v>
      </c>
      <c r="D95" s="36" t="inlineStr">
        <is>
          <t>Payments — Stripe Connect</t>
        </is>
      </c>
      <c r="E95" s="36" t="inlineStr">
        <is>
          <t>Webhooks</t>
        </is>
      </c>
      <c r="F95" s="37" t="inlineStr">
        <is>
          <t>Webhook signature verification</t>
        </is>
      </c>
      <c r="G95" s="36" t="inlineStr">
        <is>
          <t>Verify before parse; discard and log unverified</t>
        </is>
      </c>
      <c r="H95" s="36" t="inlineStr">
        <is>
          <t>Unsigned and wrongly-signed events rejected</t>
        </is>
      </c>
      <c r="I95" s="36" t="inlineStr">
        <is>
          <t>CRITICAL threat: forged webhook triggering deposit release</t>
        </is>
      </c>
      <c r="J95" s="43" t="inlineStr">
        <is>
          <t>Not started</t>
        </is>
      </c>
      <c r="K95" s="43" t="n"/>
      <c r="L95" s="43" t="n"/>
      <c r="M95" s="44" t="inlineStr">
        <is>
          <t>D091</t>
        </is>
      </c>
      <c r="N95" s="44" t="inlineStr">
        <is>
          <t>D091</t>
        </is>
      </c>
      <c r="O95" s="24" t="inlineStr">
        <is>
          <t>5.0h</t>
        </is>
      </c>
    </row>
    <row r="96" ht="15" customHeight="1" s="25">
      <c r="A96" s="36" t="n">
        <v>92</v>
      </c>
      <c r="B96" s="38">
        <f>WORKDAY(Config!$B$5,ROUND((A96-1)*5/Config!$B$6,0))</f>
        <v/>
      </c>
      <c r="C96" s="36" t="n">
        <v>5</v>
      </c>
      <c r="D96" s="36" t="inlineStr">
        <is>
          <t>Payments — Stripe Connect</t>
        </is>
      </c>
      <c r="E96" s="36" t="inlineStr">
        <is>
          <t>Webhooks</t>
        </is>
      </c>
      <c r="F96" s="37" t="inlineStr">
        <is>
          <t>Webhook idempotency</t>
        </is>
      </c>
      <c r="G96" s="36" t="inlineStr">
        <is>
          <t>Dedupe by provider event id; persist raw event</t>
        </is>
      </c>
      <c r="H96" s="36" t="inlineStr">
        <is>
          <t>Duplicate delivery processed once</t>
        </is>
      </c>
      <c r="I96" s="36" t="inlineStr">
        <is>
          <t>Providers retry aggressively</t>
        </is>
      </c>
      <c r="J96" s="43" t="inlineStr">
        <is>
          <t>Not started</t>
        </is>
      </c>
      <c r="K96" s="43" t="n"/>
      <c r="L96" s="43" t="n"/>
      <c r="M96" s="44" t="inlineStr">
        <is>
          <t>D092</t>
        </is>
      </c>
      <c r="N96" s="44" t="inlineStr">
        <is>
          <t>D092</t>
        </is>
      </c>
      <c r="O96" s="24" t="inlineStr">
        <is>
          <t>3.5h</t>
        </is>
      </c>
    </row>
    <row r="97" ht="23.85" customHeight="1" s="25">
      <c r="A97" s="36" t="n">
        <v>93</v>
      </c>
      <c r="B97" s="38">
        <f>WORKDAY(Config!$B$5,ROUND((A97-1)*5/Config!$B$6,0))</f>
        <v/>
      </c>
      <c r="C97" s="36" t="n">
        <v>5</v>
      </c>
      <c r="D97" s="36" t="inlineStr">
        <is>
          <t>Payments — Stripe Connect</t>
        </is>
      </c>
      <c r="E97" s="36" t="inlineStr">
        <is>
          <t>Webhooks</t>
        </is>
      </c>
      <c r="F97" s="37" t="inlineStr">
        <is>
          <t>Webhook ordering tolerance</t>
        </is>
      </c>
      <c r="G97" s="36" t="inlineStr">
        <is>
          <t>Out-of-order handling; async processing; fast 200</t>
        </is>
      </c>
      <c r="H97" s="36" t="inlineStr">
        <is>
          <t>Out-of-order sequence produces correct final state</t>
        </is>
      </c>
      <c r="I97" s="36" t="inlineStr">
        <is>
          <t>Ordering is not guaranteed by the provider</t>
        </is>
      </c>
      <c r="J97" s="43" t="inlineStr">
        <is>
          <t>Not started</t>
        </is>
      </c>
      <c r="K97" s="43" t="n"/>
      <c r="L97" s="43" t="n"/>
      <c r="M97" s="44" t="inlineStr">
        <is>
          <t>D093</t>
        </is>
      </c>
      <c r="N97" s="44" t="inlineStr">
        <is>
          <t>D093</t>
        </is>
      </c>
      <c r="O97" s="24" t="inlineStr">
        <is>
          <t>3.5h</t>
        </is>
      </c>
    </row>
    <row r="98" ht="23.85" customHeight="1" s="25">
      <c r="A98" s="36" t="n">
        <v>94</v>
      </c>
      <c r="B98" s="38">
        <f>WORKDAY(Config!$B$5,ROUND((A98-1)*5/Config!$B$6,0))</f>
        <v/>
      </c>
      <c r="C98" s="36" t="n">
        <v>5</v>
      </c>
      <c r="D98" s="36" t="inlineStr">
        <is>
          <t>Payments — Stripe Connect</t>
        </is>
      </c>
      <c r="E98" s="36" t="inlineStr">
        <is>
          <t>Deposits and refunds</t>
        </is>
      </c>
      <c r="F98" s="37" t="inlineStr">
        <is>
          <t>Authorization via provider</t>
        </is>
      </c>
      <c r="G98" s="36" t="inlineStr">
        <is>
          <t>Manual-capture PaymentIntent for deposits</t>
        </is>
      </c>
      <c r="H98" s="36" t="inlineStr">
        <is>
          <t>Hold placed; expiry recorded from provider response</t>
        </is>
      </c>
      <c r="I98" s="36" t="inlineStr">
        <is>
          <t>expires_at mandatory — drives the auto-release job</t>
        </is>
      </c>
      <c r="J98" s="43" t="inlineStr">
        <is>
          <t>Not started</t>
        </is>
      </c>
      <c r="K98" s="43" t="n"/>
      <c r="L98" s="43" t="n"/>
      <c r="M98" s="44" t="inlineStr">
        <is>
          <t>D094</t>
        </is>
      </c>
      <c r="N98" s="44" t="inlineStr">
        <is>
          <t>D094</t>
        </is>
      </c>
      <c r="O98" s="24" t="inlineStr">
        <is>
          <t>5.0h</t>
        </is>
      </c>
    </row>
    <row r="99" ht="23.85" customHeight="1" s="25">
      <c r="A99" s="36" t="n">
        <v>95</v>
      </c>
      <c r="B99" s="38">
        <f>WORKDAY(Config!$B$5,ROUND((A99-1)*5/Config!$B$6,0))</f>
        <v/>
      </c>
      <c r="C99" s="36" t="n">
        <v>5</v>
      </c>
      <c r="D99" s="36" t="inlineStr">
        <is>
          <t>Payments — Stripe Connect</t>
        </is>
      </c>
      <c r="E99" s="36" t="inlineStr">
        <is>
          <t>Deposits and refunds</t>
        </is>
      </c>
      <c r="F99" s="37" t="inlineStr">
        <is>
          <t>Capture, partial capture, release</t>
        </is>
      </c>
      <c r="G99" s="36" t="inlineStr">
        <is>
          <t>Provider calls wired to the deposit state machine</t>
        </is>
      </c>
      <c r="H99" s="36" t="inlineStr">
        <is>
          <t>Partial capture releases remainder; state correct</t>
        </is>
      </c>
      <c r="I99" s="36" t="inlineStr">
        <is>
          <t>Single capture enforced at both domain and provider layers</t>
        </is>
      </c>
      <c r="J99" s="43" t="inlineStr">
        <is>
          <t>Not started</t>
        </is>
      </c>
      <c r="K99" s="43" t="n"/>
      <c r="L99" s="43" t="n"/>
      <c r="M99" s="44" t="inlineStr">
        <is>
          <t>D095</t>
        </is>
      </c>
      <c r="N99" s="44" t="inlineStr">
        <is>
          <t>D095</t>
        </is>
      </c>
      <c r="O99" s="24" t="inlineStr">
        <is>
          <t>4.0h</t>
        </is>
      </c>
    </row>
    <row r="100" ht="15" customHeight="1" s="25">
      <c r="A100" s="36" t="n">
        <v>96</v>
      </c>
      <c r="B100" s="38">
        <f>WORKDAY(Config!$B$5,ROUND((A100-1)*5/Config!$B$6,0))</f>
        <v/>
      </c>
      <c r="C100" s="36" t="n">
        <v>5</v>
      </c>
      <c r="D100" s="36" t="inlineStr">
        <is>
          <t>Payments — Stripe Connect</t>
        </is>
      </c>
      <c r="E100" s="36" t="inlineStr">
        <is>
          <t>Deposits and refunds</t>
        </is>
      </c>
      <c r="F100" s="37" t="inlineStr">
        <is>
          <t>Refunds per mode</t>
        </is>
      </c>
      <c r="G100" s="36" t="inlineStr">
        <is>
          <t>Product, service, and rental refund paths</t>
        </is>
      </c>
      <c r="H100" s="36" t="inlineStr">
        <is>
          <t>Each mode's policy applied correctly</t>
        </is>
      </c>
      <c r="I100" s="36" t="inlineStr">
        <is>
          <t>Refund authority restricted by role</t>
        </is>
      </c>
      <c r="J100" s="43" t="inlineStr">
        <is>
          <t>Not started</t>
        </is>
      </c>
      <c r="K100" s="43" t="n"/>
      <c r="L100" s="43" t="n"/>
      <c r="M100" s="44" t="inlineStr">
        <is>
          <t>D096</t>
        </is>
      </c>
      <c r="N100" s="44" t="inlineStr">
        <is>
          <t>D096</t>
        </is>
      </c>
      <c r="O100" s="24" t="inlineStr">
        <is>
          <t>2.5h</t>
        </is>
      </c>
    </row>
    <row r="101" ht="23.85" customHeight="1" s="25">
      <c r="A101" s="36" t="n">
        <v>97</v>
      </c>
      <c r="B101" s="38">
        <f>WORKDAY(Config!$B$5,ROUND((A101-1)*5/Config!$B$6,0))</f>
        <v/>
      </c>
      <c r="C101" s="36" t="n">
        <v>5</v>
      </c>
      <c r="D101" s="36" t="inlineStr">
        <is>
          <t>Payments — Stripe Connect</t>
        </is>
      </c>
      <c r="E101" s="36" t="inlineStr">
        <is>
          <t>Deposits and refunds</t>
        </is>
      </c>
      <c r="F101" s="37" t="inlineStr">
        <is>
          <t>Payout reconciliation view</t>
        </is>
      </c>
      <c r="G101" s="36" t="inlineStr">
        <is>
          <t>Merchant-facing payout and fee breakdown</t>
        </is>
      </c>
      <c r="H101" s="36" t="inlineStr">
        <is>
          <t>Figures reconcile against provider records</t>
        </is>
      </c>
      <c r="I101" s="36" t="inlineStr">
        <is>
          <t>Reconciliation mismatch is an escalation trigger (T3)</t>
        </is>
      </c>
      <c r="J101" s="43" t="inlineStr">
        <is>
          <t>Not started</t>
        </is>
      </c>
      <c r="K101" s="43" t="n"/>
      <c r="L101" s="43" t="n"/>
      <c r="M101" s="44" t="inlineStr">
        <is>
          <t>D097</t>
        </is>
      </c>
      <c r="N101" s="44" t="inlineStr">
        <is>
          <t>D097</t>
        </is>
      </c>
      <c r="O101" s="24" t="inlineStr">
        <is>
          <t>2.5h</t>
        </is>
      </c>
    </row>
    <row r="102" ht="23.85" customHeight="1" s="25">
      <c r="A102" s="36" t="n">
        <v>98</v>
      </c>
      <c r="B102" s="38">
        <f>WORKDAY(Config!$B$5,ROUND((A102-1)*5/Config!$B$6,0))</f>
        <v/>
      </c>
      <c r="C102" s="36" t="n">
        <v>5</v>
      </c>
      <c r="D102" s="36" t="inlineStr">
        <is>
          <t>Payments — Stripe Connect</t>
        </is>
      </c>
      <c r="E102" s="36" t="inlineStr">
        <is>
          <t>Deposits and refunds</t>
        </is>
      </c>
      <c r="F102" s="37" t="inlineStr">
        <is>
          <t>Payment failure handling</t>
        </is>
      </c>
      <c r="G102" s="36" t="inlineStr">
        <is>
          <t>Retry and customer-facing error mapping</t>
        </is>
      </c>
      <c r="H102" s="36" t="inlineStr">
        <is>
          <t>Declines produce actionable, non-leaky messages</t>
        </is>
      </c>
      <c r="I102" s="36" t="inlineStr">
        <is>
          <t>Error text reveals nothing about the payment method</t>
        </is>
      </c>
      <c r="J102" s="43" t="inlineStr">
        <is>
          <t>Not started</t>
        </is>
      </c>
      <c r="K102" s="43" t="n"/>
      <c r="L102" s="43" t="n"/>
      <c r="M102" s="44" t="inlineStr">
        <is>
          <t>D098</t>
        </is>
      </c>
      <c r="N102" s="44" t="inlineStr">
        <is>
          <t>D098</t>
        </is>
      </c>
      <c r="O102" s="24" t="inlineStr">
        <is>
          <t>3.5h</t>
        </is>
      </c>
    </row>
    <row r="103" ht="23.85" customHeight="1" s="25">
      <c r="A103" s="36" t="n">
        <v>99</v>
      </c>
      <c r="B103" s="38">
        <f>WORKDAY(Config!$B$5,ROUND((A103-1)*5/Config!$B$6,0))</f>
        <v/>
      </c>
      <c r="C103" s="36" t="n">
        <v>5</v>
      </c>
      <c r="D103" s="36" t="inlineStr">
        <is>
          <t>Payments — Stripe Connect</t>
        </is>
      </c>
      <c r="E103" s="36" t="inlineStr">
        <is>
          <t>Deposits and refunds</t>
        </is>
      </c>
      <c r="F103" s="37" t="inlineStr">
        <is>
          <t>PCI SAQ A verification</t>
        </is>
      </c>
      <c r="G103" s="36" t="inlineStr">
        <is>
          <t>Automated test asserting no card fields in our DOM</t>
        </is>
      </c>
      <c r="H103" s="36" t="inlineStr">
        <is>
          <t>Test fails if a card input is added to our pages</t>
        </is>
      </c>
      <c r="I103" s="36" t="inlineStr">
        <is>
          <t>Preserves SAQ A eligibility — change requires an ADR</t>
        </is>
      </c>
      <c r="J103" s="43" t="inlineStr">
        <is>
          <t>Not started</t>
        </is>
      </c>
      <c r="K103" s="43" t="n"/>
      <c r="L103" s="43" t="n"/>
      <c r="M103" s="44" t="inlineStr">
        <is>
          <t>D099</t>
        </is>
      </c>
      <c r="N103" s="44" t="inlineStr">
        <is>
          <t>D099</t>
        </is>
      </c>
      <c r="O103" s="24" t="inlineStr">
        <is>
          <t>2.5h</t>
        </is>
      </c>
    </row>
    <row r="104" ht="23.85" customHeight="1" s="25">
      <c r="A104" s="45" t="n">
        <v>100</v>
      </c>
      <c r="B104" s="46">
        <f>WORKDAY(Config!$B$5,ROUND((A104-1)*5/Config!$B$6,0))</f>
        <v/>
      </c>
      <c r="C104" s="45" t="n">
        <v>5</v>
      </c>
      <c r="D104" s="45" t="inlineStr">
        <is>
          <t>Payments — Stripe Connect</t>
        </is>
      </c>
      <c r="E104" s="45" t="inlineStr">
        <is>
          <t>Deposits and refunds</t>
        </is>
      </c>
      <c r="F104" s="47" t="inlineStr">
        <is>
          <t>Payments E2E — GATE G5</t>
        </is>
      </c>
      <c r="G104" s="45" t="inlineStr">
        <is>
          <t>End-to-end money movement across all three modes</t>
        </is>
      </c>
      <c r="H104" s="45" t="inlineStr">
        <is>
          <t>Charges, splits, deposits, and refunds all correct</t>
        </is>
      </c>
      <c r="I104" s="45" t="inlineStr">
        <is>
          <t>G5 record filed with test evidence</t>
        </is>
      </c>
      <c r="J104" s="43" t="inlineStr">
        <is>
          <t>Not started</t>
        </is>
      </c>
      <c r="K104" s="43" t="n"/>
      <c r="L104" s="43" t="n"/>
      <c r="M104" s="44" t="inlineStr">
        <is>
          <t>D100</t>
        </is>
      </c>
      <c r="N104" s="44" t="inlineStr">
        <is>
          <t>D100</t>
        </is>
      </c>
      <c r="O104" s="24" t="inlineStr">
        <is>
          <t>6.5h</t>
        </is>
      </c>
    </row>
    <row r="105" ht="23.85" customHeight="1" s="25">
      <c r="A105" s="36" t="n">
        <v>101</v>
      </c>
      <c r="B105" s="38">
        <f>WORKDAY(Config!$B$5,ROUND((A105-1)*5/Config!$B$6,0))</f>
        <v/>
      </c>
      <c r="C105" s="36" t="n">
        <v>6</v>
      </c>
      <c r="D105" s="36" t="inlineStr">
        <is>
          <t>Merchant Dashboard (Web)</t>
        </is>
      </c>
      <c r="E105" s="36" t="inlineStr">
        <is>
          <t>Dashboard foundation</t>
        </is>
      </c>
      <c r="F105" s="37" t="inlineStr">
        <is>
          <t>Next.js scaffold and auth</t>
        </is>
      </c>
      <c r="G105" s="36" t="inlineStr">
        <is>
          <t>App shell, protected routes, session handling</t>
        </is>
      </c>
      <c r="H105" s="36" t="inlineStr">
        <is>
          <t>Unauthenticated access redirects; role gates work</t>
        </is>
      </c>
      <c r="I105" s="36" t="inlineStr">
        <is>
          <t>Tokens in memory + httpOnly refresh cookie, never localStorage</t>
        </is>
      </c>
      <c r="J105" s="43" t="inlineStr">
        <is>
          <t>Not started</t>
        </is>
      </c>
      <c r="K105" s="43" t="n"/>
      <c r="L105" s="43" t="n"/>
      <c r="M105" s="44" t="inlineStr">
        <is>
          <t>D101</t>
        </is>
      </c>
      <c r="N105" s="44" t="inlineStr">
        <is>
          <t>D101</t>
        </is>
      </c>
      <c r="O105" s="24" t="inlineStr">
        <is>
          <t>2.0h</t>
        </is>
      </c>
    </row>
    <row r="106" ht="23.85" customHeight="1" s="25">
      <c r="A106" s="36" t="n">
        <v>102</v>
      </c>
      <c r="B106" s="38">
        <f>WORKDAY(Config!$B$5,ROUND((A106-1)*5/Config!$B$6,0))</f>
        <v/>
      </c>
      <c r="C106" s="36" t="n">
        <v>6</v>
      </c>
      <c r="D106" s="36" t="inlineStr">
        <is>
          <t>Merchant Dashboard (Web)</t>
        </is>
      </c>
      <c r="E106" s="36" t="inlineStr">
        <is>
          <t>Dashboard foundation</t>
        </is>
      </c>
      <c r="F106" s="37" t="inlineStr">
        <is>
          <t>Design system</t>
        </is>
      </c>
      <c r="G106" s="36" t="inlineStr">
        <is>
          <t>Tokens, base components, accessible forms</t>
        </is>
      </c>
      <c r="H106" s="36" t="inlineStr">
        <is>
          <t>Keyboard navigation and labels verified</t>
        </is>
      </c>
      <c r="I106" s="36" t="inlineStr">
        <is>
          <t>Output encoding by default; strict CSP, no unsafe-inline</t>
        </is>
      </c>
      <c r="J106" s="43" t="inlineStr">
        <is>
          <t>Not started</t>
        </is>
      </c>
      <c r="K106" s="43" t="n"/>
      <c r="L106" s="43" t="n"/>
      <c r="M106" s="44" t="inlineStr">
        <is>
          <t>D102</t>
        </is>
      </c>
      <c r="N106" s="44" t="inlineStr">
        <is>
          <t>D102</t>
        </is>
      </c>
      <c r="O106" s="24" t="inlineStr">
        <is>
          <t>2.0h</t>
        </is>
      </c>
    </row>
    <row r="107" ht="23.85" customHeight="1" s="25">
      <c r="A107" s="36" t="n">
        <v>103</v>
      </c>
      <c r="B107" s="38">
        <f>WORKDAY(Config!$B$5,ROUND((A107-1)*5/Config!$B$6,0))</f>
        <v/>
      </c>
      <c r="C107" s="36" t="n">
        <v>6</v>
      </c>
      <c r="D107" s="36" t="inlineStr">
        <is>
          <t>Merchant Dashboard (Web)</t>
        </is>
      </c>
      <c r="E107" s="36" t="inlineStr">
        <is>
          <t>Dashboard foundation</t>
        </is>
      </c>
      <c r="F107" s="37" t="inlineStr">
        <is>
          <t>Merchant onboarding</t>
        </is>
      </c>
      <c r="G107" s="36" t="inlineStr">
        <is>
          <t>Account, business profile, location setup</t>
        </is>
      </c>
      <c r="H107" s="36" t="inlineStr">
        <is>
          <t>A new merchant completes setup unaided</t>
        </is>
      </c>
      <c r="I107" s="36" t="inlineStr">
        <is>
          <t>Seller identity captured at onboarding (DAC7/DSA readiness)</t>
        </is>
      </c>
      <c r="J107" s="43" t="inlineStr">
        <is>
          <t>Not started</t>
        </is>
      </c>
      <c r="K107" s="43" t="n"/>
      <c r="L107" s="43" t="n"/>
      <c r="M107" s="44" t="inlineStr">
        <is>
          <t>D103</t>
        </is>
      </c>
      <c r="N107" s="44" t="inlineStr">
        <is>
          <t>D103</t>
        </is>
      </c>
      <c r="O107" s="24" t="inlineStr">
        <is>
          <t>2.0h</t>
        </is>
      </c>
    </row>
    <row r="108" ht="15" customHeight="1" s="25">
      <c r="A108" s="36" t="n">
        <v>104</v>
      </c>
      <c r="B108" s="38">
        <f>WORKDAY(Config!$B$5,ROUND((A108-1)*5/Config!$B$6,0))</f>
        <v/>
      </c>
      <c r="C108" s="36" t="n">
        <v>6</v>
      </c>
      <c r="D108" s="36" t="inlineStr">
        <is>
          <t>Merchant Dashboard (Web)</t>
        </is>
      </c>
      <c r="E108" s="36" t="inlineStr">
        <is>
          <t>Dashboard foundation</t>
        </is>
      </c>
      <c r="F108" s="37" t="inlineStr">
        <is>
          <t>Connect onboarding UI</t>
        </is>
      </c>
      <c r="G108" s="36" t="inlineStr">
        <is>
          <t>Stripe onboarding embedded flow</t>
        </is>
      </c>
      <c r="H108" s="36" t="inlineStr">
        <is>
          <t>Merchant reaches payouts-enabled state</t>
        </is>
      </c>
      <c r="I108" s="36" t="inlineStr">
        <is>
          <t>No bank details stored by us</t>
        </is>
      </c>
      <c r="J108" s="43" t="inlineStr">
        <is>
          <t>Not started</t>
        </is>
      </c>
      <c r="K108" s="43" t="n"/>
      <c r="L108" s="43" t="n"/>
      <c r="M108" s="44" t="inlineStr">
        <is>
          <t>D104</t>
        </is>
      </c>
      <c r="N108" s="44" t="inlineStr">
        <is>
          <t>D104</t>
        </is>
      </c>
      <c r="O108" s="24" t="inlineStr">
        <is>
          <t>3.0h</t>
        </is>
      </c>
    </row>
    <row r="109" ht="15" customHeight="1" s="25">
      <c r="A109" s="36" t="n">
        <v>105</v>
      </c>
      <c r="B109" s="38">
        <f>WORKDAY(Config!$B$5,ROUND((A109-1)*5/Config!$B$6,0))</f>
        <v/>
      </c>
      <c r="C109" s="36" t="n">
        <v>6</v>
      </c>
      <c r="D109" s="36" t="inlineStr">
        <is>
          <t>Merchant Dashboard (Web)</t>
        </is>
      </c>
      <c r="E109" s="36" t="inlineStr">
        <is>
          <t>Catalog management</t>
        </is>
      </c>
      <c r="F109" s="37" t="inlineStr">
        <is>
          <t>Catalog list view</t>
        </is>
      </c>
      <c r="G109" s="36" t="inlineStr">
        <is>
          <t>Mixed-mode list with filters by mode and status</t>
        </is>
      </c>
      <c r="H109" s="36" t="inlineStr">
        <is>
          <t>All three modes visible in one view</t>
        </is>
      </c>
      <c r="I109" s="36" t="inlineStr">
        <is>
          <t>Tenant-scoped query; no cross-merchant leakage</t>
        </is>
      </c>
      <c r="J109" s="43" t="inlineStr">
        <is>
          <t>Not started</t>
        </is>
      </c>
      <c r="K109" s="43" t="n"/>
      <c r="L109" s="43" t="n"/>
      <c r="M109" s="44" t="inlineStr">
        <is>
          <t>D105</t>
        </is>
      </c>
      <c r="N109" s="44" t="inlineStr">
        <is>
          <t>D105</t>
        </is>
      </c>
      <c r="O109" s="24" t="inlineStr">
        <is>
          <t>2.0h</t>
        </is>
      </c>
    </row>
    <row r="110" ht="15" customHeight="1" s="25">
      <c r="A110" s="36" t="n">
        <v>106</v>
      </c>
      <c r="B110" s="38">
        <f>WORKDAY(Config!$B$5,ROUND((A110-1)*5/Config!$B$6,0))</f>
        <v/>
      </c>
      <c r="C110" s="36" t="n">
        <v>6</v>
      </c>
      <c r="D110" s="36" t="inlineStr">
        <is>
          <t>Merchant Dashboard (Web)</t>
        </is>
      </c>
      <c r="E110" s="36" t="inlineStr">
        <is>
          <t>Catalog management</t>
        </is>
      </c>
      <c r="F110" s="37" t="inlineStr">
        <is>
          <t>Listing editor: product</t>
        </is>
      </c>
      <c r="G110" s="36" t="inlineStr">
        <is>
          <t>Create and edit PRODUCT listings and variants</t>
        </is>
      </c>
      <c r="H110" s="36" t="inlineStr">
        <is>
          <t>Product with variants saves and renders</t>
        </is>
      </c>
      <c r="I110" s="36" t="inlineStr">
        <is>
          <t>Server-side validation mirrors client Zod schema</t>
        </is>
      </c>
      <c r="J110" s="43" t="inlineStr">
        <is>
          <t>Not started</t>
        </is>
      </c>
      <c r="K110" s="43" t="n"/>
      <c r="L110" s="43" t="n"/>
      <c r="M110" s="44" t="inlineStr">
        <is>
          <t>D106</t>
        </is>
      </c>
      <c r="N110" s="44" t="inlineStr">
        <is>
          <t>D106</t>
        </is>
      </c>
      <c r="O110" s="24" t="inlineStr">
        <is>
          <t>2.0h</t>
        </is>
      </c>
    </row>
    <row r="111" ht="15" customHeight="1" s="25">
      <c r="A111" s="36" t="n">
        <v>107</v>
      </c>
      <c r="B111" s="38">
        <f>WORKDAY(Config!$B$5,ROUND((A111-1)*5/Config!$B$6,0))</f>
        <v/>
      </c>
      <c r="C111" s="36" t="n">
        <v>6</v>
      </c>
      <c r="D111" s="36" t="inlineStr">
        <is>
          <t>Merchant Dashboard (Web)</t>
        </is>
      </c>
      <c r="E111" s="36" t="inlineStr">
        <is>
          <t>Catalog management</t>
        </is>
      </c>
      <c r="F111" s="37" t="inlineStr">
        <is>
          <t>Listing editor: service</t>
        </is>
      </c>
      <c r="G111" s="36" t="inlineStr">
        <is>
          <t>SERVICE listings: duration, resources, policy</t>
        </is>
      </c>
      <c r="H111" s="36" t="inlineStr">
        <is>
          <t>Service bookable after save</t>
        </is>
      </c>
      <c r="I111" s="36" t="inlineStr">
        <is>
          <t>Resource assignment respects tenant scope</t>
        </is>
      </c>
      <c r="J111" s="43" t="inlineStr">
        <is>
          <t>Not started</t>
        </is>
      </c>
      <c r="K111" s="43" t="n"/>
      <c r="L111" s="43" t="n"/>
      <c r="M111" s="44" t="inlineStr">
        <is>
          <t>D107</t>
        </is>
      </c>
      <c r="N111" s="44" t="inlineStr">
        <is>
          <t>D107</t>
        </is>
      </c>
      <c r="O111" s="24" t="inlineStr">
        <is>
          <t>2.0h</t>
        </is>
      </c>
    </row>
    <row r="112" ht="15" customHeight="1" s="25">
      <c r="A112" s="36" t="n">
        <v>108</v>
      </c>
      <c r="B112" s="38">
        <f>WORKDAY(Config!$B$5,ROUND((A112-1)*5/Config!$B$6,0))</f>
        <v/>
      </c>
      <c r="C112" s="36" t="n">
        <v>6</v>
      </c>
      <c r="D112" s="36" t="inlineStr">
        <is>
          <t>Merchant Dashboard (Web)</t>
        </is>
      </c>
      <c r="E112" s="36" t="inlineStr">
        <is>
          <t>Catalog management</t>
        </is>
      </c>
      <c r="F112" s="37" t="inlineStr">
        <is>
          <t>Listing editor: rental</t>
        </is>
      </c>
      <c r="G112" s="36" t="inlineStr">
        <is>
          <t>RENTAL listings: rate period, deposit, buffer</t>
        </is>
      </c>
      <c r="H112" s="36" t="inlineStr">
        <is>
          <t>Deposit and buffer persist and apply</t>
        </is>
      </c>
      <c r="I112" s="36" t="inlineStr">
        <is>
          <t>Window-ceiling warning shown for long rental terms</t>
        </is>
      </c>
      <c r="J112" s="43" t="inlineStr">
        <is>
          <t>Not started</t>
        </is>
      </c>
      <c r="K112" s="43" t="n"/>
      <c r="L112" s="43" t="n"/>
      <c r="M112" s="44" t="inlineStr">
        <is>
          <t>D108</t>
        </is>
      </c>
      <c r="N112" s="44" t="inlineStr">
        <is>
          <t>D108</t>
        </is>
      </c>
      <c r="O112" s="24" t="inlineStr">
        <is>
          <t>3.5h</t>
        </is>
      </c>
    </row>
    <row r="113" ht="15" customHeight="1" s="25">
      <c r="A113" s="36" t="n">
        <v>109</v>
      </c>
      <c r="B113" s="38">
        <f>WORKDAY(Config!$B$5,ROUND((A113-1)*5/Config!$B$6,0))</f>
        <v/>
      </c>
      <c r="C113" s="36" t="n">
        <v>6</v>
      </c>
      <c r="D113" s="36" t="inlineStr">
        <is>
          <t>Merchant Dashboard (Web)</t>
        </is>
      </c>
      <c r="E113" s="36" t="inlineStr">
        <is>
          <t>Catalog management</t>
        </is>
      </c>
      <c r="F113" s="37" t="inlineStr">
        <is>
          <t>Variant management</t>
        </is>
      </c>
      <c r="G113" s="36" t="inlineStr">
        <is>
          <t>Variant table with pricing and attributes</t>
        </is>
      </c>
      <c r="H113" s="36" t="inlineStr">
        <is>
          <t>Bulk edit works; prices validated</t>
        </is>
      </c>
      <c r="I113" s="36" t="inlineStr">
        <is>
          <t>Price changes do not affect historical orders</t>
        </is>
      </c>
      <c r="J113" s="43" t="inlineStr">
        <is>
          <t>Not started</t>
        </is>
      </c>
      <c r="K113" s="43" t="n"/>
      <c r="L113" s="43" t="n"/>
      <c r="M113" s="44" t="inlineStr">
        <is>
          <t>D109</t>
        </is>
      </c>
      <c r="N113" s="44" t="inlineStr">
        <is>
          <t>D109</t>
        </is>
      </c>
      <c r="O113" s="24" t="inlineStr">
        <is>
          <t>2.0h</t>
        </is>
      </c>
    </row>
    <row r="114" ht="23.85" customHeight="1" s="25">
      <c r="A114" s="36" t="n">
        <v>110</v>
      </c>
      <c r="B114" s="38">
        <f>WORKDAY(Config!$B$5,ROUND((A114-1)*5/Config!$B$6,0))</f>
        <v/>
      </c>
      <c r="C114" s="36" t="n">
        <v>6</v>
      </c>
      <c r="D114" s="36" t="inlineStr">
        <is>
          <t>Merchant Dashboard (Web)</t>
        </is>
      </c>
      <c r="E114" s="36" t="inlineStr">
        <is>
          <t>Inventory and calendar</t>
        </is>
      </c>
      <c r="F114" s="37" t="inlineStr">
        <is>
          <t>Inventory unit management</t>
        </is>
      </c>
      <c r="G114" s="36" t="inlineStr">
        <is>
          <t>List, add, edit, retire units; acquisition cost capture</t>
        </is>
      </c>
      <c r="H114" s="36" t="inlineStr">
        <is>
          <t>Units tracked individually for rentals</t>
        </is>
      </c>
      <c r="I114" s="36" t="inlineStr">
        <is>
          <t>Acquisition data captured now — impossible to backfill</t>
        </is>
      </c>
      <c r="J114" s="43" t="inlineStr">
        <is>
          <t>Not started</t>
        </is>
      </c>
      <c r="K114" s="43" t="n"/>
      <c r="L114" s="43" t="n"/>
      <c r="M114" s="44" t="inlineStr">
        <is>
          <t>D110</t>
        </is>
      </c>
      <c r="N114" s="44" t="inlineStr">
        <is>
          <t>D110</t>
        </is>
      </c>
      <c r="O114" s="24" t="inlineStr">
        <is>
          <t>2.0h</t>
        </is>
      </c>
    </row>
    <row r="115" ht="23.85" customHeight="1" s="25">
      <c r="A115" s="36" t="n">
        <v>111</v>
      </c>
      <c r="B115" s="38">
        <f>WORKDAY(Config!$B$5,ROUND((A115-1)*5/Config!$B$6,0))</f>
        <v/>
      </c>
      <c r="C115" s="36" t="n">
        <v>6</v>
      </c>
      <c r="D115" s="36" t="inlineStr">
        <is>
          <t>Merchant Dashboard (Web)</t>
        </is>
      </c>
      <c r="E115" s="36" t="inlineStr">
        <is>
          <t>Inventory and calendar</t>
        </is>
      </c>
      <c r="F115" s="37" t="inlineStr">
        <is>
          <t>Rental status on units</t>
        </is>
      </c>
      <c r="G115" s="36" t="inlineStr">
        <is>
          <t>Unit list shows out-on-rental with return date</t>
        </is>
      </c>
      <c r="H115" s="36" t="inlineStr">
        <is>
          <t>A rented unit is visibly unavailable for sale</t>
        </is>
      </c>
      <c r="I115" s="36" t="inlineStr">
        <is>
          <t>THE demo moment — shared inventory made visible</t>
        </is>
      </c>
      <c r="J115" s="43" t="inlineStr">
        <is>
          <t>Not started</t>
        </is>
      </c>
      <c r="K115" s="43" t="n"/>
      <c r="L115" s="43" t="n"/>
      <c r="M115" s="44" t="inlineStr">
        <is>
          <t>D111</t>
        </is>
      </c>
      <c r="N115" s="44" t="inlineStr">
        <is>
          <t>D111</t>
        </is>
      </c>
      <c r="O115" s="24" t="inlineStr">
        <is>
          <t>2.0h</t>
        </is>
      </c>
    </row>
    <row r="116" ht="23.85" customHeight="1" s="25">
      <c r="A116" s="36" t="n">
        <v>112</v>
      </c>
      <c r="B116" s="38">
        <f>WORKDAY(Config!$B$5,ROUND((A116-1)*5/Config!$B$6,0))</f>
        <v/>
      </c>
      <c r="C116" s="36" t="n">
        <v>6</v>
      </c>
      <c r="D116" s="36" t="inlineStr">
        <is>
          <t>Merchant Dashboard (Web)</t>
        </is>
      </c>
      <c r="E116" s="36" t="inlineStr">
        <is>
          <t>Inventory and calendar</t>
        </is>
      </c>
      <c r="F116" s="37" t="inlineStr">
        <is>
          <t>Resources and availability editor</t>
        </is>
      </c>
      <c r="G116" s="36" t="inlineStr">
        <is>
          <t>Weekly rules per resource</t>
        </is>
      </c>
      <c r="H116" s="36" t="inlineStr">
        <is>
          <t>Availability renders correctly in merchant timezone</t>
        </is>
      </c>
      <c r="I116" s="36" t="inlineStr">
        <is>
          <t>Timezone handling verified across DST</t>
        </is>
      </c>
      <c r="J116" s="43" t="inlineStr">
        <is>
          <t>Not started</t>
        </is>
      </c>
      <c r="K116" s="43" t="n"/>
      <c r="L116" s="43" t="n"/>
      <c r="M116" s="44" t="inlineStr">
        <is>
          <t>D112</t>
        </is>
      </c>
      <c r="N116" s="44" t="inlineStr">
        <is>
          <t>D112</t>
        </is>
      </c>
      <c r="O116" s="24" t="inlineStr">
        <is>
          <t>2.0h</t>
        </is>
      </c>
    </row>
    <row r="117" ht="15" customHeight="1" s="25">
      <c r="A117" s="36" t="n">
        <v>113</v>
      </c>
      <c r="B117" s="38">
        <f>WORKDAY(Config!$B$5,ROUND((A117-1)*5/Config!$B$6,0))</f>
        <v/>
      </c>
      <c r="C117" s="36" t="n">
        <v>6</v>
      </c>
      <c r="D117" s="36" t="inlineStr">
        <is>
          <t>Merchant Dashboard (Web)</t>
        </is>
      </c>
      <c r="E117" s="36" t="inlineStr">
        <is>
          <t>Inventory and calendar</t>
        </is>
      </c>
      <c r="F117" s="37" t="inlineStr">
        <is>
          <t>Availability exceptions UI</t>
        </is>
      </c>
      <c r="G117" s="36" t="inlineStr">
        <is>
          <t>Blackouts and extra openings</t>
        </is>
      </c>
      <c r="H117" s="36" t="inlineStr">
        <is>
          <t>Exception blocks or opens the expected window</t>
        </is>
      </c>
      <c r="I117" s="36" t="inlineStr">
        <is>
          <t>Merchant-scoped only</t>
        </is>
      </c>
      <c r="J117" s="43" t="inlineStr">
        <is>
          <t>Not started</t>
        </is>
      </c>
      <c r="K117" s="43" t="n"/>
      <c r="L117" s="43" t="n"/>
      <c r="M117" s="44" t="inlineStr">
        <is>
          <t>D113</t>
        </is>
      </c>
      <c r="N117" s="44" t="inlineStr">
        <is>
          <t>D113</t>
        </is>
      </c>
      <c r="O117" s="24" t="inlineStr">
        <is>
          <t>2.0h</t>
        </is>
      </c>
    </row>
    <row r="118" ht="15" customHeight="1" s="25">
      <c r="A118" s="36" t="n">
        <v>114</v>
      </c>
      <c r="B118" s="38">
        <f>WORKDAY(Config!$B$5,ROUND((A118-1)*5/Config!$B$6,0))</f>
        <v/>
      </c>
      <c r="C118" s="36" t="n">
        <v>6</v>
      </c>
      <c r="D118" s="36" t="inlineStr">
        <is>
          <t>Merchant Dashboard (Web)</t>
        </is>
      </c>
      <c r="E118" s="36" t="inlineStr">
        <is>
          <t>Inventory and calendar</t>
        </is>
      </c>
      <c r="F118" s="37" t="inlineStr">
        <is>
          <t>Unified calendar</t>
        </is>
      </c>
      <c r="G118" s="36" t="inlineStr">
        <is>
          <t>Bookings and rentals in one view, filterable</t>
        </is>
      </c>
      <c r="H118" s="36" t="inlineStr">
        <is>
          <t>All modes on one calendar; conflicts highlighted</t>
        </is>
      </c>
      <c r="I118" s="36" t="inlineStr">
        <is>
          <t>No customer data beyond what staff need</t>
        </is>
      </c>
      <c r="J118" s="43" t="inlineStr">
        <is>
          <t>Not started</t>
        </is>
      </c>
      <c r="K118" s="43" t="n"/>
      <c r="L118" s="43" t="n"/>
      <c r="M118" s="44" t="inlineStr">
        <is>
          <t>D114</t>
        </is>
      </c>
      <c r="N118" s="44" t="inlineStr">
        <is>
          <t>D114</t>
        </is>
      </c>
      <c r="O118" s="24" t="inlineStr">
        <is>
          <t>2.0h</t>
        </is>
      </c>
    </row>
    <row r="119" ht="15" customHeight="1" s="25">
      <c r="A119" s="36" t="n">
        <v>115</v>
      </c>
      <c r="B119" s="38">
        <f>WORKDAY(Config!$B$5,ROUND((A119-1)*5/Config!$B$6,0))</f>
        <v/>
      </c>
      <c r="C119" s="36" t="n">
        <v>6</v>
      </c>
      <c r="D119" s="36" t="inlineStr">
        <is>
          <t>Merchant Dashboard (Web)</t>
        </is>
      </c>
      <c r="E119" s="36" t="inlineStr">
        <is>
          <t>Operations</t>
        </is>
      </c>
      <c r="F119" s="37" t="inlineStr">
        <is>
          <t>Order list and detail</t>
        </is>
      </c>
      <c r="G119" s="36" t="inlineStr">
        <is>
          <t>Cross-mode order management</t>
        </is>
      </c>
      <c r="H119" s="36" t="inlineStr">
        <is>
          <t>Orders from all three modes render correctly</t>
        </is>
      </c>
      <c r="I119" s="36" t="inlineStr">
        <is>
          <t>Role-gated: READ_ONLY cannot mutate</t>
        </is>
      </c>
      <c r="J119" s="43" t="inlineStr">
        <is>
          <t>Not started</t>
        </is>
      </c>
      <c r="K119" s="43" t="n"/>
      <c r="L119" s="43" t="n"/>
      <c r="M119" s="44" t="inlineStr">
        <is>
          <t>D115</t>
        </is>
      </c>
      <c r="N119" s="44" t="inlineStr">
        <is>
          <t>D115</t>
        </is>
      </c>
      <c r="O119" s="24" t="inlineStr">
        <is>
          <t>2.0h</t>
        </is>
      </c>
    </row>
    <row r="120" ht="23.85" customHeight="1" s="25">
      <c r="A120" s="36" t="n">
        <v>116</v>
      </c>
      <c r="B120" s="38">
        <f>WORKDAY(Config!$B$5,ROUND((A120-1)*5/Config!$B$6,0))</f>
        <v/>
      </c>
      <c r="C120" s="36" t="n">
        <v>6</v>
      </c>
      <c r="D120" s="36" t="inlineStr">
        <is>
          <t>Merchant Dashboard (Web)</t>
        </is>
      </c>
      <c r="E120" s="36" t="inlineStr">
        <is>
          <t>Operations</t>
        </is>
      </c>
      <c r="F120" s="37" t="inlineStr">
        <is>
          <t>Rental check-out flow</t>
        </is>
      </c>
      <c r="G120" s="36" t="inlineStr">
        <is>
          <t>Condition report with photo capture</t>
        </is>
      </c>
      <c r="H120" s="36" t="inlineStr">
        <is>
          <t>Cannot complete checkout without a report</t>
        </is>
      </c>
      <c r="I120" s="36" t="inlineStr">
        <is>
          <t>Photograph the asset, not the customer — guidance in UI</t>
        </is>
      </c>
      <c r="J120" s="43" t="inlineStr">
        <is>
          <t>Not started</t>
        </is>
      </c>
      <c r="K120" s="43" t="n"/>
      <c r="L120" s="43" t="n"/>
      <c r="M120" s="44" t="inlineStr">
        <is>
          <t>D116</t>
        </is>
      </c>
      <c r="N120" s="44" t="inlineStr">
        <is>
          <t>D116</t>
        </is>
      </c>
      <c r="O120" s="24" t="inlineStr">
        <is>
          <t>3.5h</t>
        </is>
      </c>
    </row>
    <row r="121" ht="15" customHeight="1" s="25">
      <c r="A121" s="36" t="n">
        <v>117</v>
      </c>
      <c r="B121" s="38">
        <f>WORKDAY(Config!$B$5,ROUND((A121-1)*5/Config!$B$6,0))</f>
        <v/>
      </c>
      <c r="C121" s="36" t="n">
        <v>6</v>
      </c>
      <c r="D121" s="36" t="inlineStr">
        <is>
          <t>Merchant Dashboard (Web)</t>
        </is>
      </c>
      <c r="E121" s="36" t="inlineStr">
        <is>
          <t>Operations</t>
        </is>
      </c>
      <c r="F121" s="37" t="inlineStr">
        <is>
          <t>Rental check-in flow</t>
        </is>
      </c>
      <c r="G121" s="36" t="inlineStr">
        <is>
          <t>Check-in report with side-by-side comparison</t>
        </is>
      </c>
      <c r="H121" s="36" t="inlineStr">
        <is>
          <t>Grade delta surfaced; unit returns to availability</t>
        </is>
      </c>
      <c r="I121" s="36" t="inlineStr">
        <is>
          <t>Media integrity hash verified on display</t>
        </is>
      </c>
      <c r="J121" s="43" t="inlineStr">
        <is>
          <t>Not started</t>
        </is>
      </c>
      <c r="K121" s="43" t="n"/>
      <c r="L121" s="43" t="n"/>
      <c r="M121" s="44" t="inlineStr">
        <is>
          <t>D117</t>
        </is>
      </c>
      <c r="N121" s="44" t="inlineStr">
        <is>
          <t>D117</t>
        </is>
      </c>
      <c r="O121" s="24" t="inlineStr">
        <is>
          <t>2.0h</t>
        </is>
      </c>
    </row>
    <row r="122" ht="23.85" customHeight="1" s="25">
      <c r="A122" s="36" t="n">
        <v>118</v>
      </c>
      <c r="B122" s="38">
        <f>WORKDAY(Config!$B$5,ROUND((A122-1)*5/Config!$B$6,0))</f>
        <v/>
      </c>
      <c r="C122" s="36" t="n">
        <v>6</v>
      </c>
      <c r="D122" s="36" t="inlineStr">
        <is>
          <t>Merchant Dashboard (Web)</t>
        </is>
      </c>
      <c r="E122" s="36" t="inlineStr">
        <is>
          <t>Operations</t>
        </is>
      </c>
      <c r="F122" s="37" t="inlineStr">
        <is>
          <t>Damage claim UI</t>
        </is>
      </c>
      <c r="G122" s="36" t="inlineStr">
        <is>
          <t>File, review, capture or waive</t>
        </is>
      </c>
      <c r="H122" s="36" t="inlineStr">
        <is>
          <t>Capture bounded by authorized amount in the UI</t>
        </is>
      </c>
      <c r="I122" s="36" t="inlineStr">
        <is>
          <t>Capture requires explicit confirmation — one attempt only</t>
        </is>
      </c>
      <c r="J122" s="43" t="inlineStr">
        <is>
          <t>Not started</t>
        </is>
      </c>
      <c r="K122" s="43" t="n"/>
      <c r="L122" s="43" t="n"/>
      <c r="M122" s="44" t="inlineStr">
        <is>
          <t>D118</t>
        </is>
      </c>
      <c r="N122" s="44" t="inlineStr">
        <is>
          <t>D118</t>
        </is>
      </c>
      <c r="O122" s="24" t="inlineStr">
        <is>
          <t>3.5h</t>
        </is>
      </c>
    </row>
    <row r="123" ht="15" customHeight="1" s="25">
      <c r="A123" s="36" t="n">
        <v>119</v>
      </c>
      <c r="B123" s="38">
        <f>WORKDAY(Config!$B$5,ROUND((A123-1)*5/Config!$B$6,0))</f>
        <v/>
      </c>
      <c r="C123" s="36" t="n">
        <v>6</v>
      </c>
      <c r="D123" s="36" t="inlineStr">
        <is>
          <t>Merchant Dashboard (Web)</t>
        </is>
      </c>
      <c r="E123" s="36" t="inlineStr">
        <is>
          <t>Operations</t>
        </is>
      </c>
      <c r="F123" s="37" t="inlineStr">
        <is>
          <t>Deposit management view</t>
        </is>
      </c>
      <c r="G123" s="36" t="inlineStr">
        <is>
          <t>Held, released, captured, expiring soon</t>
        </is>
      </c>
      <c r="H123" s="36" t="inlineStr">
        <is>
          <t>Expiring holds surfaced before they lapse</t>
        </is>
      </c>
      <c r="I123" s="36" t="inlineStr">
        <is>
          <t>Prevents silent expiry on customer cards</t>
        </is>
      </c>
      <c r="J123" s="43" t="inlineStr">
        <is>
          <t>Not started</t>
        </is>
      </c>
      <c r="K123" s="43" t="n"/>
      <c r="L123" s="43" t="n"/>
      <c r="M123" s="44" t="inlineStr">
        <is>
          <t>D119</t>
        </is>
      </c>
      <c r="N123" s="44" t="inlineStr">
        <is>
          <t>D119</t>
        </is>
      </c>
      <c r="O123" s="24" t="inlineStr">
        <is>
          <t>3.5h</t>
        </is>
      </c>
    </row>
    <row r="124" ht="23.85" customHeight="1" s="25">
      <c r="A124" s="45" t="n">
        <v>120</v>
      </c>
      <c r="B124" s="46">
        <f>WORKDAY(Config!$B$5,ROUND((A124-1)*5/Config!$B$6,0))</f>
        <v/>
      </c>
      <c r="C124" s="45" t="n">
        <v>6</v>
      </c>
      <c r="D124" s="45" t="inlineStr">
        <is>
          <t>Merchant Dashboard (Web)</t>
        </is>
      </c>
      <c r="E124" s="45" t="inlineStr">
        <is>
          <t>Operations</t>
        </is>
      </c>
      <c r="F124" s="47" t="inlineStr">
        <is>
          <t>Settings and team — GATE G6</t>
        </is>
      </c>
      <c r="G124" s="45" t="inlineStr">
        <is>
          <t>Policies, notifications, team roles</t>
        </is>
      </c>
      <c r="H124" s="45" t="inlineStr">
        <is>
          <t>A merchant completes a full operating cycle unaided</t>
        </is>
      </c>
      <c r="I124" s="45" t="inlineStr">
        <is>
          <t>Role changes audit-logged and notified to owners</t>
        </is>
      </c>
      <c r="J124" s="43" t="inlineStr">
        <is>
          <t>Not started</t>
        </is>
      </c>
      <c r="K124" s="43" t="n"/>
      <c r="L124" s="43" t="n"/>
      <c r="M124" s="44" t="inlineStr">
        <is>
          <t>D120</t>
        </is>
      </c>
      <c r="N124" s="44" t="inlineStr">
        <is>
          <t>D120</t>
        </is>
      </c>
      <c r="O124" s="24" t="inlineStr">
        <is>
          <t>3.5h</t>
        </is>
      </c>
    </row>
    <row r="125" ht="23.85" customHeight="1" s="25">
      <c r="A125" s="36" t="n">
        <v>121</v>
      </c>
      <c r="B125" s="38">
        <f>WORKDAY(Config!$B$5,ROUND((A125-1)*5/Config!$B$6,0))</f>
        <v/>
      </c>
      <c r="C125" s="36" t="n">
        <v>7</v>
      </c>
      <c r="D125" s="36" t="inlineStr">
        <is>
          <t>Customer Storefront (Web)</t>
        </is>
      </c>
      <c r="E125" s="36" t="inlineStr">
        <is>
          <t>Storefront</t>
        </is>
      </c>
      <c r="F125" s="37" t="inlineStr">
        <is>
          <t>Public merchant page</t>
        </is>
      </c>
      <c r="G125" s="36" t="inlineStr">
        <is>
          <t>Mixed catalog rendering across three modes</t>
        </is>
      </c>
      <c r="H125" s="36" t="inlineStr">
        <is>
          <t>All three modes visible on one page</t>
        </is>
      </c>
      <c r="I125" s="36" t="inlineStr">
        <is>
          <t>Public endpoint — rate limited, no internal IDs exposed</t>
        </is>
      </c>
      <c r="J125" s="43" t="inlineStr">
        <is>
          <t>Not started</t>
        </is>
      </c>
      <c r="K125" s="43" t="n"/>
      <c r="L125" s="43" t="n"/>
      <c r="M125" s="44" t="inlineStr">
        <is>
          <t>D121</t>
        </is>
      </c>
      <c r="N125" s="44" t="inlineStr">
        <is>
          <t>D121</t>
        </is>
      </c>
      <c r="O125" s="24" t="inlineStr">
        <is>
          <t>2.0h</t>
        </is>
      </c>
    </row>
    <row r="126" ht="23.85" customHeight="1" s="25">
      <c r="A126" s="36" t="n">
        <v>122</v>
      </c>
      <c r="B126" s="38">
        <f>WORKDAY(Config!$B$5,ROUND((A126-1)*5/Config!$B$6,0))</f>
        <v/>
      </c>
      <c r="C126" s="36" t="n">
        <v>7</v>
      </c>
      <c r="D126" s="36" t="inlineStr">
        <is>
          <t>Customer Storefront (Web)</t>
        </is>
      </c>
      <c r="E126" s="36" t="inlineStr">
        <is>
          <t>Storefront</t>
        </is>
      </c>
      <c r="F126" s="37" t="inlineStr">
        <is>
          <t>Listing detail: product</t>
        </is>
      </c>
      <c r="G126" s="36" t="inlineStr">
        <is>
          <t>Product page with variants and stock state</t>
        </is>
      </c>
      <c r="H126" s="36" t="inlineStr">
        <is>
          <t>Out-of-stock reflected accurately</t>
        </is>
      </c>
      <c r="I126" s="36" t="inlineStr">
        <is>
          <t>Stock state never reveals exact competitor-sensitive counts</t>
        </is>
      </c>
      <c r="J126" s="43" t="inlineStr">
        <is>
          <t>Not started</t>
        </is>
      </c>
      <c r="K126" s="43" t="n"/>
      <c r="L126" s="43" t="n"/>
      <c r="M126" s="44" t="inlineStr">
        <is>
          <t>D122</t>
        </is>
      </c>
      <c r="N126" s="44" t="inlineStr">
        <is>
          <t>D122</t>
        </is>
      </c>
      <c r="O126" s="24" t="inlineStr">
        <is>
          <t>2.0h</t>
        </is>
      </c>
    </row>
    <row r="127" ht="23.85" customHeight="1" s="25">
      <c r="A127" s="36" t="n">
        <v>123</v>
      </c>
      <c r="B127" s="38">
        <f>WORKDAY(Config!$B$5,ROUND((A127-1)*5/Config!$B$6,0))</f>
        <v/>
      </c>
      <c r="C127" s="36" t="n">
        <v>7</v>
      </c>
      <c r="D127" s="36" t="inlineStr">
        <is>
          <t>Customer Storefront (Web)</t>
        </is>
      </c>
      <c r="E127" s="36" t="inlineStr">
        <is>
          <t>Storefront</t>
        </is>
      </c>
      <c r="F127" s="37" t="inlineStr">
        <is>
          <t>Listing detail: service</t>
        </is>
      </c>
      <c r="G127" s="36" t="inlineStr">
        <is>
          <t>Service page with slot picker</t>
        </is>
      </c>
      <c r="H127" s="36" t="inlineStr">
        <is>
          <t>Only free slots selectable</t>
        </is>
      </c>
      <c r="I127" s="36" t="inlineStr">
        <is>
          <t>Availability shows free/busy only, never who booked</t>
        </is>
      </c>
      <c r="J127" s="43" t="inlineStr">
        <is>
          <t>Not started</t>
        </is>
      </c>
      <c r="K127" s="43" t="n"/>
      <c r="L127" s="43" t="n"/>
      <c r="M127" s="44" t="inlineStr">
        <is>
          <t>D123</t>
        </is>
      </c>
      <c r="N127" s="44" t="inlineStr">
        <is>
          <t>D123</t>
        </is>
      </c>
      <c r="O127" s="24" t="inlineStr">
        <is>
          <t>2.0h</t>
        </is>
      </c>
    </row>
    <row r="128" ht="23.85" customHeight="1" s="25">
      <c r="A128" s="36" t="n">
        <v>124</v>
      </c>
      <c r="B128" s="38">
        <f>WORKDAY(Config!$B$5,ROUND((A128-1)*5/Config!$B$6,0))</f>
        <v/>
      </c>
      <c r="C128" s="36" t="n">
        <v>7</v>
      </c>
      <c r="D128" s="36" t="inlineStr">
        <is>
          <t>Customer Storefront (Web)</t>
        </is>
      </c>
      <c r="E128" s="36" t="inlineStr">
        <is>
          <t>Storefront</t>
        </is>
      </c>
      <c r="F128" s="37" t="inlineStr">
        <is>
          <t>Listing detail: rental</t>
        </is>
      </c>
      <c r="G128" s="36" t="inlineStr">
        <is>
          <t>Rental page with date-range picker and deposit disclosure</t>
        </is>
      </c>
      <c r="H128" s="36" t="inlineStr">
        <is>
          <t>Unavailable ranges blocked; deposit shown before checkout</t>
        </is>
      </c>
      <c r="I128" s="36" t="inlineStr">
        <is>
          <t>Deposit disclosed before any commitment</t>
        </is>
      </c>
      <c r="J128" s="43" t="inlineStr">
        <is>
          <t>Not started</t>
        </is>
      </c>
      <c r="K128" s="43" t="n"/>
      <c r="L128" s="43" t="n"/>
      <c r="M128" s="44" t="inlineStr">
        <is>
          <t>D124</t>
        </is>
      </c>
      <c r="N128" s="44" t="inlineStr">
        <is>
          <t>D124</t>
        </is>
      </c>
      <c r="O128" s="24" t="inlineStr">
        <is>
          <t>3.5h</t>
        </is>
      </c>
    </row>
    <row r="129" ht="15" customHeight="1" s="25">
      <c r="A129" s="36" t="n">
        <v>125</v>
      </c>
      <c r="B129" s="38">
        <f>WORKDAY(Config!$B$5,ROUND((A129-1)*5/Config!$B$6,0))</f>
        <v/>
      </c>
      <c r="C129" s="36" t="n">
        <v>7</v>
      </c>
      <c r="D129" s="36" t="inlineStr">
        <is>
          <t>Customer Storefront (Web)</t>
        </is>
      </c>
      <c r="E129" s="36" t="inlineStr">
        <is>
          <t>Storefront</t>
        </is>
      </c>
      <c r="F129" s="37" t="inlineStr">
        <is>
          <t>Availability calendar UI</t>
        </is>
      </c>
      <c r="G129" s="36" t="inlineStr">
        <is>
          <t>Free-interval display with month navigation</t>
        </is>
      </c>
      <c r="H129" s="36" t="inlineStr">
        <is>
          <t>Matches server availability exactly</t>
        </is>
      </c>
      <c r="I129" s="36" t="inlineStr">
        <is>
          <t>90-day request cap respected by the client</t>
        </is>
      </c>
      <c r="J129" s="43" t="inlineStr">
        <is>
          <t>Not started</t>
        </is>
      </c>
      <c r="K129" s="43" t="n"/>
      <c r="L129" s="43" t="n"/>
      <c r="M129" s="44" t="inlineStr">
        <is>
          <t>D125</t>
        </is>
      </c>
      <c r="N129" s="44" t="inlineStr">
        <is>
          <t>D125</t>
        </is>
      </c>
      <c r="O129" s="24" t="inlineStr">
        <is>
          <t>2.0h</t>
        </is>
      </c>
    </row>
    <row r="130" ht="15" customHeight="1" s="25">
      <c r="A130" s="36" t="n">
        <v>126</v>
      </c>
      <c r="B130" s="38">
        <f>WORKDAY(Config!$B$5,ROUND((A130-1)*5/Config!$B$6,0))</f>
        <v/>
      </c>
      <c r="C130" s="36" t="n">
        <v>7</v>
      </c>
      <c r="D130" s="36" t="inlineStr">
        <is>
          <t>Customer Storefront (Web)</t>
        </is>
      </c>
      <c r="E130" s="36" t="inlineStr">
        <is>
          <t>Cart and checkout</t>
        </is>
      </c>
      <c r="F130" s="37" t="inlineStr">
        <is>
          <t>Mixed-mode cart</t>
        </is>
      </c>
      <c r="G130" s="36" t="inlineStr">
        <is>
          <t>Cart holding product, service, and rental lines</t>
        </is>
      </c>
      <c r="H130" s="36" t="inlineStr">
        <is>
          <t>All three line types coexist and total correctly</t>
        </is>
      </c>
      <c r="I130" s="36" t="inlineStr">
        <is>
          <t>Totals always recomputed server-side</t>
        </is>
      </c>
      <c r="J130" s="43" t="inlineStr">
        <is>
          <t>Not started</t>
        </is>
      </c>
      <c r="K130" s="43" t="n"/>
      <c r="L130" s="43" t="n"/>
      <c r="M130" s="44" t="inlineStr">
        <is>
          <t>D126</t>
        </is>
      </c>
      <c r="N130" s="44" t="inlineStr">
        <is>
          <t>D126</t>
        </is>
      </c>
      <c r="O130" s="24" t="inlineStr">
        <is>
          <t>2.0h</t>
        </is>
      </c>
    </row>
    <row r="131" ht="15" customHeight="1" s="25">
      <c r="A131" s="36" t="n">
        <v>127</v>
      </c>
      <c r="B131" s="38">
        <f>WORKDAY(Config!$B$5,ROUND((A131-1)*5/Config!$B$6,0))</f>
        <v/>
      </c>
      <c r="C131" s="36" t="n">
        <v>7</v>
      </c>
      <c r="D131" s="36" t="inlineStr">
        <is>
          <t>Customer Storefront (Web)</t>
        </is>
      </c>
      <c r="E131" s="36" t="inlineStr">
        <is>
          <t>Cart and checkout</t>
        </is>
      </c>
      <c r="F131" s="37" t="inlineStr">
        <is>
          <t>Hold countdown</t>
        </is>
      </c>
      <c r="G131" s="36" t="inlineStr">
        <is>
          <t>Visible expiry timer; graceful expiry handling</t>
        </is>
      </c>
      <c r="H131" s="36" t="inlineStr">
        <is>
          <t>Expired hold produces a clear recoverable error</t>
        </is>
      </c>
      <c r="I131" s="36" t="inlineStr">
        <is>
          <t>Prevents silent loss of a slot at payment time</t>
        </is>
      </c>
      <c r="J131" s="43" t="inlineStr">
        <is>
          <t>Not started</t>
        </is>
      </c>
      <c r="K131" s="43" t="n"/>
      <c r="L131" s="43" t="n"/>
      <c r="M131" s="44" t="inlineStr">
        <is>
          <t>D127</t>
        </is>
      </c>
      <c r="N131" s="44" t="inlineStr">
        <is>
          <t>D127</t>
        </is>
      </c>
      <c r="O131" s="24" t="inlineStr">
        <is>
          <t>5.0h</t>
        </is>
      </c>
    </row>
    <row r="132" ht="23.85" customHeight="1" s="25">
      <c r="A132" s="36" t="n">
        <v>128</v>
      </c>
      <c r="B132" s="38">
        <f>WORKDAY(Config!$B$5,ROUND((A132-1)*5/Config!$B$6,0))</f>
        <v/>
      </c>
      <c r="C132" s="36" t="n">
        <v>7</v>
      </c>
      <c r="D132" s="36" t="inlineStr">
        <is>
          <t>Customer Storefront (Web)</t>
        </is>
      </c>
      <c r="E132" s="36" t="inlineStr">
        <is>
          <t>Cart and checkout</t>
        </is>
      </c>
      <c r="F132" s="37" t="inlineStr">
        <is>
          <t>Checkout: details and consent</t>
        </is>
      </c>
      <c r="G132" s="36" t="inlineStr">
        <is>
          <t>Customer details; terms consent with version and timestamp</t>
        </is>
      </c>
      <c r="H132" s="36" t="inlineStr">
        <is>
          <t>Consent recorded with terms version</t>
        </is>
      </c>
      <c r="I132" s="36" t="inlineStr">
        <is>
          <t>Repudiation defence: consent is evidenced</t>
        </is>
      </c>
      <c r="J132" s="43" t="inlineStr">
        <is>
          <t>Not started</t>
        </is>
      </c>
      <c r="K132" s="43" t="n"/>
      <c r="L132" s="43" t="n"/>
      <c r="M132" s="44" t="inlineStr">
        <is>
          <t>D128</t>
        </is>
      </c>
      <c r="N132" s="44" t="inlineStr">
        <is>
          <t>D128</t>
        </is>
      </c>
      <c r="O132" s="24" t="inlineStr">
        <is>
          <t>2.0h</t>
        </is>
      </c>
    </row>
    <row r="133" ht="23.85" customHeight="1" s="25">
      <c r="A133" s="36" t="n">
        <v>129</v>
      </c>
      <c r="B133" s="38">
        <f>WORKDAY(Config!$B$5,ROUND((A133-1)*5/Config!$B$6,0))</f>
        <v/>
      </c>
      <c r="C133" s="36" t="n">
        <v>7</v>
      </c>
      <c r="D133" s="36" t="inlineStr">
        <is>
          <t>Customer Storefront (Web)</t>
        </is>
      </c>
      <c r="E133" s="36" t="inlineStr">
        <is>
          <t>Cart and checkout</t>
        </is>
      </c>
      <c r="F133" s="37" t="inlineStr">
        <is>
          <t>Checkout: deposit consent</t>
        </is>
      </c>
      <c r="G133" s="36" t="inlineStr">
        <is>
          <t>Explicit deposit authorization disclosure and consent</t>
        </is>
      </c>
      <c r="H133" s="36" t="inlineStr">
        <is>
          <t>Customer sees hold amount, duration, and conditions</t>
        </is>
      </c>
      <c r="I133" s="36" t="inlineStr">
        <is>
          <t>Clear disclosure reduces dispute and chargeback risk</t>
        </is>
      </c>
      <c r="J133" s="43" t="inlineStr">
        <is>
          <t>Not started</t>
        </is>
      </c>
      <c r="K133" s="43" t="n"/>
      <c r="L133" s="43" t="n"/>
      <c r="M133" s="44" t="inlineStr">
        <is>
          <t>D129</t>
        </is>
      </c>
      <c r="N133" s="44" t="inlineStr">
        <is>
          <t>D129</t>
        </is>
      </c>
      <c r="O133" s="24" t="inlineStr">
        <is>
          <t>3.5h</t>
        </is>
      </c>
    </row>
    <row r="134" ht="15" customHeight="1" s="25">
      <c r="A134" s="36" t="n">
        <v>130</v>
      </c>
      <c r="B134" s="38">
        <f>WORKDAY(Config!$B$5,ROUND((A134-1)*5/Config!$B$6,0))</f>
        <v/>
      </c>
      <c r="C134" s="36" t="n">
        <v>7</v>
      </c>
      <c r="D134" s="36" t="inlineStr">
        <is>
          <t>Customer Storefront (Web)</t>
        </is>
      </c>
      <c r="E134" s="36" t="inlineStr">
        <is>
          <t>Cart and checkout</t>
        </is>
      </c>
      <c r="F134" s="37" t="inlineStr">
        <is>
          <t>Payment UI</t>
        </is>
      </c>
      <c r="G134" s="36" t="inlineStr">
        <is>
          <t>Stripe hosted fields integration</t>
        </is>
      </c>
      <c r="H134" s="36" t="inlineStr">
        <is>
          <t>Payment completes; no card data in our DOM</t>
        </is>
      </c>
      <c r="I134" s="36" t="inlineStr">
        <is>
          <t>SAQ A test passes against the live checkout page</t>
        </is>
      </c>
      <c r="J134" s="43" t="inlineStr">
        <is>
          <t>Not started</t>
        </is>
      </c>
      <c r="K134" s="43" t="n"/>
      <c r="L134" s="43" t="n"/>
      <c r="M134" s="44" t="inlineStr">
        <is>
          <t>D130</t>
        </is>
      </c>
      <c r="N134" s="44" t="inlineStr">
        <is>
          <t>D130</t>
        </is>
      </c>
      <c r="O134" s="24" t="inlineStr">
        <is>
          <t>3.0h</t>
        </is>
      </c>
    </row>
    <row r="135" ht="15" customHeight="1" s="25">
      <c r="A135" s="36" t="n">
        <v>131</v>
      </c>
      <c r="B135" s="38">
        <f>WORKDAY(Config!$B$5,ROUND((A135-1)*5/Config!$B$6,0))</f>
        <v/>
      </c>
      <c r="C135" s="36" t="n">
        <v>7</v>
      </c>
      <c r="D135" s="36" t="inlineStr">
        <is>
          <t>Customer Storefront (Web)</t>
        </is>
      </c>
      <c r="E135" s="36" t="inlineStr">
        <is>
          <t>Cart and checkout</t>
        </is>
      </c>
      <c r="F135" s="37" t="inlineStr">
        <is>
          <t>Order confirmation</t>
        </is>
      </c>
      <c r="G135" s="36" t="inlineStr">
        <is>
          <t>Confirmation page and emailed receipt</t>
        </is>
      </c>
      <c r="H135" s="36" t="inlineStr">
        <is>
          <t>Receipt itemizes charges and any deposit hold</t>
        </is>
      </c>
      <c r="I135" s="36" t="inlineStr">
        <is>
          <t>No card details in the receipt</t>
        </is>
      </c>
      <c r="J135" s="43" t="inlineStr">
        <is>
          <t>Not started</t>
        </is>
      </c>
      <c r="K135" s="43" t="n"/>
      <c r="L135" s="43" t="n"/>
      <c r="M135" s="44" t="inlineStr">
        <is>
          <t>D131</t>
        </is>
      </c>
      <c r="N135" s="44" t="inlineStr">
        <is>
          <t>D131</t>
        </is>
      </c>
      <c r="O135" s="24" t="inlineStr">
        <is>
          <t>3.5h</t>
        </is>
      </c>
    </row>
    <row r="136" ht="23.85" customHeight="1" s="25">
      <c r="A136" s="36" t="n">
        <v>132</v>
      </c>
      <c r="B136" s="38">
        <f>WORKDAY(Config!$B$5,ROUND((A136-1)*5/Config!$B$6,0))</f>
        <v/>
      </c>
      <c r="C136" s="36" t="n">
        <v>7</v>
      </c>
      <c r="D136" s="36" t="inlineStr">
        <is>
          <t>Customer Storefront (Web)</t>
        </is>
      </c>
      <c r="E136" s="36" t="inlineStr">
        <is>
          <t>Customer account</t>
        </is>
      </c>
      <c r="F136" s="37" t="inlineStr">
        <is>
          <t>Order history</t>
        </is>
      </c>
      <c r="G136" s="36" t="inlineStr">
        <is>
          <t>Past and upcoming across modes</t>
        </is>
      </c>
      <c r="H136" s="36" t="inlineStr">
        <is>
          <t>Only the authenticated customer's orders are returned</t>
        </is>
      </c>
      <c r="I136" s="36" t="inlineStr">
        <is>
          <t>IDOR test: another customer's order ID returns 404</t>
        </is>
      </c>
      <c r="J136" s="43" t="inlineStr">
        <is>
          <t>Not started</t>
        </is>
      </c>
      <c r="K136" s="43" t="n"/>
      <c r="L136" s="43" t="n"/>
      <c r="M136" s="44" t="inlineStr">
        <is>
          <t>D132</t>
        </is>
      </c>
      <c r="N136" s="44" t="inlineStr">
        <is>
          <t>D132</t>
        </is>
      </c>
      <c r="O136" s="24" t="inlineStr">
        <is>
          <t>2.0h</t>
        </is>
      </c>
    </row>
    <row r="137" ht="15" customHeight="1" s="25">
      <c r="A137" s="36" t="n">
        <v>133</v>
      </c>
      <c r="B137" s="38">
        <f>WORKDAY(Config!$B$5,ROUND((A137-1)*5/Config!$B$6,0))</f>
        <v/>
      </c>
      <c r="C137" s="36" t="n">
        <v>7</v>
      </c>
      <c r="D137" s="36" t="inlineStr">
        <is>
          <t>Customer Storefront (Web)</t>
        </is>
      </c>
      <c r="E137" s="36" t="inlineStr">
        <is>
          <t>Customer account</t>
        </is>
      </c>
      <c r="F137" s="37" t="inlineStr">
        <is>
          <t>Cancellation flow</t>
        </is>
      </c>
      <c r="G137" s="36" t="inlineStr">
        <is>
          <t>Per-mode cancellation with policy application</t>
        </is>
      </c>
      <c r="H137" s="36" t="inlineStr">
        <is>
          <t>Correct refund and deposit release per policy</t>
        </is>
      </c>
      <c r="I137" s="36" t="inlineStr">
        <is>
          <t>Cancellation authority verified against ownership</t>
        </is>
      </c>
      <c r="J137" s="43" t="inlineStr">
        <is>
          <t>Not started</t>
        </is>
      </c>
      <c r="K137" s="43" t="n"/>
      <c r="L137" s="43" t="n"/>
      <c r="M137" s="44" t="inlineStr">
        <is>
          <t>D133</t>
        </is>
      </c>
      <c r="N137" s="44" t="inlineStr">
        <is>
          <t>D133</t>
        </is>
      </c>
      <c r="O137" s="24" t="inlineStr">
        <is>
          <t>3.5h</t>
        </is>
      </c>
    </row>
    <row r="138" ht="23.85" customHeight="1" s="25">
      <c r="A138" s="36" t="n">
        <v>134</v>
      </c>
      <c r="B138" s="38">
        <f>WORKDAY(Config!$B$5,ROUND((A138-1)*5/Config!$B$6,0))</f>
        <v/>
      </c>
      <c r="C138" s="36" t="n">
        <v>7</v>
      </c>
      <c r="D138" s="36" t="inlineStr">
        <is>
          <t>Customer Storefront (Web)</t>
        </is>
      </c>
      <c r="E138" s="36" t="inlineStr">
        <is>
          <t>Customer account</t>
        </is>
      </c>
      <c r="F138" s="37" t="inlineStr">
        <is>
          <t>Transactional notifications</t>
        </is>
      </c>
      <c r="G138" s="36" t="inlineStr">
        <is>
          <t>Confirmation, reminder, return-due, deposit release</t>
        </is>
      </c>
      <c r="H138" s="36" t="inlineStr">
        <is>
          <t>All four delivered in test</t>
        </is>
      </c>
      <c r="I138" s="36" t="inlineStr">
        <is>
          <t>Transactional only — no marketing, so no consent management</t>
        </is>
      </c>
      <c r="J138" s="43" t="inlineStr">
        <is>
          <t>Not started</t>
        </is>
      </c>
      <c r="K138" s="43" t="n"/>
      <c r="L138" s="43" t="n"/>
      <c r="M138" s="44" t="inlineStr">
        <is>
          <t>D134</t>
        </is>
      </c>
      <c r="N138" s="44" t="inlineStr">
        <is>
          <t>D134</t>
        </is>
      </c>
      <c r="O138" s="24" t="inlineStr">
        <is>
          <t>3.5h</t>
        </is>
      </c>
    </row>
    <row r="139" ht="15" customHeight="1" s="25">
      <c r="A139" s="36" t="n">
        <v>135</v>
      </c>
      <c r="B139" s="38">
        <f>WORKDAY(Config!$B$5,ROUND((A139-1)*5/Config!$B$6,0))</f>
        <v/>
      </c>
      <c r="C139" s="36" t="n">
        <v>7</v>
      </c>
      <c r="D139" s="36" t="inlineStr">
        <is>
          <t>Customer Storefront (Web)</t>
        </is>
      </c>
      <c r="E139" s="36" t="inlineStr">
        <is>
          <t>Customer account</t>
        </is>
      </c>
      <c r="F139" s="37" t="inlineStr">
        <is>
          <t>Accessibility and responsive pass</t>
        </is>
      </c>
      <c r="G139" s="36" t="inlineStr">
        <is>
          <t>WCAG AA basics; mobile-web layout</t>
        </is>
      </c>
      <c r="H139" s="36" t="inlineStr">
        <is>
          <t>Keyboard and screen-reader paths verified</t>
        </is>
      </c>
      <c r="I139" s="36" t="inlineStr">
        <is>
          <t>Accessible error messaging does not leak detail</t>
        </is>
      </c>
      <c r="J139" s="43" t="inlineStr">
        <is>
          <t>Not started</t>
        </is>
      </c>
      <c r="K139" s="43" t="n"/>
      <c r="L139" s="43" t="n"/>
      <c r="M139" s="44" t="inlineStr">
        <is>
          <t>D135</t>
        </is>
      </c>
      <c r="N139" s="44" t="inlineStr">
        <is>
          <t>D135</t>
        </is>
      </c>
      <c r="O139" s="24" t="inlineStr">
        <is>
          <t>2.0h</t>
        </is>
      </c>
    </row>
    <row r="140" ht="15" customHeight="1" s="25">
      <c r="A140" s="39" t="n">
        <v>136</v>
      </c>
      <c r="B140" s="41">
        <f>WORKDAY(Config!$B$5,ROUND((A140-1)*5/Config!$B$6,0))</f>
        <v/>
      </c>
      <c r="C140" s="39" t="n">
        <v>7</v>
      </c>
      <c r="D140" s="39" t="inlineStr">
        <is>
          <t>Customer Storefront (Web)</t>
        </is>
      </c>
      <c r="E140" s="39" t="inlineStr">
        <is>
          <t>Customer account</t>
        </is>
      </c>
      <c r="F140" s="40" t="inlineStr">
        <is>
          <t>E2E suite and MVP GATE G7</t>
        </is>
      </c>
      <c r="G140" s="39" t="inlineStr">
        <is>
          <t>Five critical flows in Playwright</t>
        </is>
      </c>
      <c r="H140" s="39" t="inlineStr">
        <is>
          <t>All five pass; platform is pilot-capable</t>
        </is>
      </c>
      <c r="I140" s="39" t="inlineStr">
        <is>
          <t>G7 record filed — MVP gate</t>
        </is>
      </c>
      <c r="J140" s="43" t="inlineStr">
        <is>
          <t>Not started</t>
        </is>
      </c>
      <c r="K140" s="43" t="n"/>
      <c r="L140" s="43" t="n"/>
      <c r="M140" s="44" t="inlineStr">
        <is>
          <t>D136</t>
        </is>
      </c>
      <c r="N140" s="44" t="inlineStr">
        <is>
          <t>D136</t>
        </is>
      </c>
      <c r="O140" s="24" t="inlineStr">
        <is>
          <t>3.5h</t>
        </is>
      </c>
    </row>
    <row r="141" ht="15" customHeight="1" s="25">
      <c r="A141" s="36" t="n">
        <v>137</v>
      </c>
      <c r="B141" s="38">
        <f>WORKDAY(Config!$B$5,ROUND((A141-1)*5/Config!$B$6,0))</f>
        <v/>
      </c>
      <c r="C141" s="36" t="n">
        <v>8</v>
      </c>
      <c r="D141" s="36" t="inlineStr">
        <is>
          <t>Mobile Application</t>
        </is>
      </c>
      <c r="E141" s="36" t="inlineStr">
        <is>
          <t>Mobile foundation</t>
        </is>
      </c>
      <c r="F141" s="37" t="inlineStr">
        <is>
          <t>Expo scaffold</t>
        </is>
      </c>
      <c r="G141" s="36" t="inlineStr">
        <is>
          <t>App shell wired to shared contracts package</t>
        </is>
      </c>
      <c r="H141" s="36" t="inlineStr">
        <is>
          <t>Builds for iOS and Android simulators</t>
        </is>
      </c>
      <c r="I141" s="36" t="inlineStr">
        <is>
          <t>Shared Zod schemas — one validation definition</t>
        </is>
      </c>
      <c r="J141" s="43" t="inlineStr">
        <is>
          <t>Not started</t>
        </is>
      </c>
      <c r="K141" s="43" t="n"/>
      <c r="L141" s="43" t="n"/>
      <c r="M141" s="44" t="inlineStr">
        <is>
          <t>D137</t>
        </is>
      </c>
      <c r="N141" s="44" t="inlineStr">
        <is>
          <t>D137</t>
        </is>
      </c>
      <c r="O141" s="24" t="inlineStr">
        <is>
          <t>2.0h</t>
        </is>
      </c>
    </row>
    <row r="142" ht="23.85" customHeight="1" s="25">
      <c r="A142" s="36" t="n">
        <v>138</v>
      </c>
      <c r="B142" s="38">
        <f>WORKDAY(Config!$B$5,ROUND((A142-1)*5/Config!$B$6,0))</f>
        <v/>
      </c>
      <c r="C142" s="36" t="n">
        <v>8</v>
      </c>
      <c r="D142" s="36" t="inlineStr">
        <is>
          <t>Mobile Application</t>
        </is>
      </c>
      <c r="E142" s="36" t="inlineStr">
        <is>
          <t>Mobile foundation</t>
        </is>
      </c>
      <c r="F142" s="37" t="inlineStr">
        <is>
          <t>Mobile authentication</t>
        </is>
      </c>
      <c r="G142" s="36" t="inlineStr">
        <is>
          <t>OIDC PKCE; tokens in Keychain/Keystore</t>
        </is>
      </c>
      <c r="H142" s="36" t="inlineStr">
        <is>
          <t>Sign-in and refresh work on both platforms</t>
        </is>
      </c>
      <c r="I142" s="36" t="inlineStr">
        <is>
          <t>Never AsyncStorage for tokens — platform secure storage only</t>
        </is>
      </c>
      <c r="J142" s="43" t="inlineStr">
        <is>
          <t>Not started</t>
        </is>
      </c>
      <c r="K142" s="43" t="n"/>
      <c r="L142" s="43" t="n"/>
      <c r="M142" s="44" t="inlineStr">
        <is>
          <t>D138</t>
        </is>
      </c>
      <c r="N142" s="44" t="inlineStr">
        <is>
          <t>D138</t>
        </is>
      </c>
      <c r="O142" s="24" t="inlineStr">
        <is>
          <t>2.0h</t>
        </is>
      </c>
    </row>
    <row r="143" ht="15" customHeight="1" s="25">
      <c r="A143" s="36" t="n">
        <v>139</v>
      </c>
      <c r="B143" s="38">
        <f>WORKDAY(Config!$B$5,ROUND((A143-1)*5/Config!$B$6,0))</f>
        <v/>
      </c>
      <c r="C143" s="36" t="n">
        <v>8</v>
      </c>
      <c r="D143" s="36" t="inlineStr">
        <is>
          <t>Mobile Application</t>
        </is>
      </c>
      <c r="E143" s="36" t="inlineStr">
        <is>
          <t>Mobile foundation</t>
        </is>
      </c>
      <c r="F143" s="37" t="inlineStr">
        <is>
          <t>Navigation and design parity</t>
        </is>
      </c>
      <c r="G143" s="36" t="inlineStr">
        <is>
          <t>Navigation structure and component parity</t>
        </is>
      </c>
      <c r="H143" s="36" t="inlineStr">
        <is>
          <t>Core screens match web behaviour</t>
        </is>
      </c>
      <c r="I143" s="36" t="inlineStr">
        <is>
          <t>No server-side logic leaked into the client bundle</t>
        </is>
      </c>
      <c r="J143" s="43" t="inlineStr">
        <is>
          <t>Not started</t>
        </is>
      </c>
      <c r="K143" s="43" t="n"/>
      <c r="L143" s="43" t="n"/>
      <c r="M143" s="44" t="inlineStr">
        <is>
          <t>D139</t>
        </is>
      </c>
      <c r="N143" s="44" t="inlineStr">
        <is>
          <t>D139</t>
        </is>
      </c>
      <c r="O143" s="24" t="inlineStr">
        <is>
          <t>2.0h</t>
        </is>
      </c>
    </row>
    <row r="144" ht="15" customHeight="1" s="25">
      <c r="A144" s="36" t="n">
        <v>140</v>
      </c>
      <c r="B144" s="38">
        <f>WORKDAY(Config!$B$5,ROUND((A144-1)*5/Config!$B$6,0))</f>
        <v/>
      </c>
      <c r="C144" s="36" t="n">
        <v>8</v>
      </c>
      <c r="D144" s="36" t="inlineStr">
        <is>
          <t>Mobile Application</t>
        </is>
      </c>
      <c r="E144" s="36" t="inlineStr">
        <is>
          <t>Mobile customer flows</t>
        </is>
      </c>
      <c r="F144" s="37" t="inlineStr">
        <is>
          <t>Merchant discovery and page</t>
        </is>
      </c>
      <c r="G144" s="36" t="inlineStr">
        <is>
          <t>Merchant profile screen</t>
        </is>
      </c>
      <c r="H144" s="36" t="inlineStr">
        <is>
          <t>Mixed catalog renders on mobile</t>
        </is>
      </c>
      <c r="I144" s="36" t="inlineStr">
        <is>
          <t>Public endpoints rate-limited per device</t>
        </is>
      </c>
      <c r="J144" s="43" t="inlineStr">
        <is>
          <t>Not started</t>
        </is>
      </c>
      <c r="K144" s="43" t="n"/>
      <c r="L144" s="43" t="n"/>
      <c r="M144" s="44" t="inlineStr">
        <is>
          <t>D140</t>
        </is>
      </c>
      <c r="N144" s="44" t="inlineStr">
        <is>
          <t>D140</t>
        </is>
      </c>
      <c r="O144" s="24" t="inlineStr">
        <is>
          <t>2.0h</t>
        </is>
      </c>
    </row>
    <row r="145" ht="15" customHeight="1" s="25">
      <c r="A145" s="36" t="n">
        <v>141</v>
      </c>
      <c r="B145" s="38">
        <f>WORKDAY(Config!$B$5,ROUND((A145-1)*5/Config!$B$6,0))</f>
        <v/>
      </c>
      <c r="C145" s="36" t="n">
        <v>8</v>
      </c>
      <c r="D145" s="36" t="inlineStr">
        <is>
          <t>Mobile Application</t>
        </is>
      </c>
      <c r="E145" s="36" t="inlineStr">
        <is>
          <t>Mobile customer flows</t>
        </is>
      </c>
      <c r="F145" s="37" t="inlineStr">
        <is>
          <t>Catalog browse</t>
        </is>
      </c>
      <c r="G145" s="36" t="inlineStr">
        <is>
          <t>Mixed-mode listing browse with filters</t>
        </is>
      </c>
      <c r="H145" s="36" t="inlineStr">
        <is>
          <t>All three modes browsable</t>
        </is>
      </c>
      <c r="I145" s="36" t="inlineStr">
        <is>
          <t>Pagination cursor-based, no offset leakage</t>
        </is>
      </c>
      <c r="J145" s="43" t="inlineStr">
        <is>
          <t>Not started</t>
        </is>
      </c>
      <c r="K145" s="43" t="n"/>
      <c r="L145" s="43" t="n"/>
      <c r="M145" s="44" t="inlineStr">
        <is>
          <t>D141</t>
        </is>
      </c>
      <c r="N145" s="44" t="inlineStr">
        <is>
          <t>D141</t>
        </is>
      </c>
      <c r="O145" s="24" t="inlineStr">
        <is>
          <t>2.0h</t>
        </is>
      </c>
    </row>
    <row r="146" ht="15" customHeight="1" s="25">
      <c r="A146" s="36" t="n">
        <v>142</v>
      </c>
      <c r="B146" s="38">
        <f>WORKDAY(Config!$B$5,ROUND((A146-1)*5/Config!$B$6,0))</f>
        <v/>
      </c>
      <c r="C146" s="36" t="n">
        <v>8</v>
      </c>
      <c r="D146" s="36" t="inlineStr">
        <is>
          <t>Mobile Application</t>
        </is>
      </c>
      <c r="E146" s="36" t="inlineStr">
        <is>
          <t>Mobile customer flows</t>
        </is>
      </c>
      <c r="F146" s="37" t="inlineStr">
        <is>
          <t>Listing detail: product</t>
        </is>
      </c>
      <c r="G146" s="36" t="inlineStr">
        <is>
          <t>Mobile product screen</t>
        </is>
      </c>
      <c r="H146" s="36" t="inlineStr">
        <is>
          <t>Purchase path reaches checkout</t>
        </is>
      </c>
      <c r="I146" s="36" t="inlineStr">
        <is>
          <t>Prices fetched server-side, never cached stale</t>
        </is>
      </c>
      <c r="J146" s="43" t="inlineStr">
        <is>
          <t>Not started</t>
        </is>
      </c>
      <c r="K146" s="43" t="n"/>
      <c r="L146" s="43" t="n"/>
      <c r="M146" s="44" t="inlineStr">
        <is>
          <t>D142</t>
        </is>
      </c>
      <c r="N146" s="44" t="inlineStr">
        <is>
          <t>D142</t>
        </is>
      </c>
      <c r="O146" s="24" t="inlineStr">
        <is>
          <t>2.0h</t>
        </is>
      </c>
    </row>
    <row r="147" ht="15" customHeight="1" s="25">
      <c r="A147" s="36" t="n">
        <v>143</v>
      </c>
      <c r="B147" s="38">
        <f>WORKDAY(Config!$B$5,ROUND((A147-1)*5/Config!$B$6,0))</f>
        <v/>
      </c>
      <c r="C147" s="36" t="n">
        <v>8</v>
      </c>
      <c r="D147" s="36" t="inlineStr">
        <is>
          <t>Mobile Application</t>
        </is>
      </c>
      <c r="E147" s="36" t="inlineStr">
        <is>
          <t>Mobile customer flows</t>
        </is>
      </c>
      <c r="F147" s="37" t="inlineStr">
        <is>
          <t>Listing detail: service</t>
        </is>
      </c>
      <c r="G147" s="36" t="inlineStr">
        <is>
          <t>Slot picker on mobile</t>
        </is>
      </c>
      <c r="H147" s="36" t="inlineStr">
        <is>
          <t>Only free slots selectable</t>
        </is>
      </c>
      <c r="I147" s="36" t="inlineStr">
        <is>
          <t>Free/busy only</t>
        </is>
      </c>
      <c r="J147" s="43" t="inlineStr">
        <is>
          <t>Not started</t>
        </is>
      </c>
      <c r="K147" s="43" t="n"/>
      <c r="L147" s="43" t="n"/>
      <c r="M147" s="44" t="inlineStr">
        <is>
          <t>D143</t>
        </is>
      </c>
      <c r="N147" s="44" t="inlineStr">
        <is>
          <t>D143</t>
        </is>
      </c>
      <c r="O147" s="24" t="inlineStr">
        <is>
          <t>2.0h</t>
        </is>
      </c>
    </row>
    <row r="148" ht="15" customHeight="1" s="25">
      <c r="A148" s="36" t="n">
        <v>144</v>
      </c>
      <c r="B148" s="38">
        <f>WORKDAY(Config!$B$5,ROUND((A148-1)*5/Config!$B$6,0))</f>
        <v/>
      </c>
      <c r="C148" s="36" t="n">
        <v>8</v>
      </c>
      <c r="D148" s="36" t="inlineStr">
        <is>
          <t>Mobile Application</t>
        </is>
      </c>
      <c r="E148" s="36" t="inlineStr">
        <is>
          <t>Mobile customer flows</t>
        </is>
      </c>
      <c r="F148" s="37" t="inlineStr">
        <is>
          <t>Listing detail: rental</t>
        </is>
      </c>
      <c r="G148" s="36" t="inlineStr">
        <is>
          <t>Date-range picker with deposit disclosure</t>
        </is>
      </c>
      <c r="H148" s="36" t="inlineStr">
        <is>
          <t>Deposit terms shown before checkout</t>
        </is>
      </c>
      <c r="I148" s="36" t="inlineStr">
        <is>
          <t>Disclosure parity with web</t>
        </is>
      </c>
      <c r="J148" s="43" t="inlineStr">
        <is>
          <t>Not started</t>
        </is>
      </c>
      <c r="K148" s="43" t="n"/>
      <c r="L148" s="43" t="n"/>
      <c r="M148" s="44" t="inlineStr">
        <is>
          <t>D144</t>
        </is>
      </c>
      <c r="N148" s="44" t="inlineStr">
        <is>
          <t>D144</t>
        </is>
      </c>
      <c r="O148" s="24" t="inlineStr">
        <is>
          <t>3.5h</t>
        </is>
      </c>
    </row>
    <row r="149" ht="15" customHeight="1" s="25">
      <c r="A149" s="36" t="n">
        <v>145</v>
      </c>
      <c r="B149" s="38">
        <f>WORKDAY(Config!$B$5,ROUND((A149-1)*5/Config!$B$6,0))</f>
        <v/>
      </c>
      <c r="C149" s="36" t="n">
        <v>8</v>
      </c>
      <c r="D149" s="36" t="inlineStr">
        <is>
          <t>Mobile Application</t>
        </is>
      </c>
      <c r="E149" s="36" t="inlineStr">
        <is>
          <t>Mobile customer flows</t>
        </is>
      </c>
      <c r="F149" s="37" t="inlineStr">
        <is>
          <t>Mobile cart and holds</t>
        </is>
      </c>
      <c r="G149" s="36" t="inlineStr">
        <is>
          <t>Cart with hold countdown</t>
        </is>
      </c>
      <c r="H149" s="36" t="inlineStr">
        <is>
          <t>Hold expiry handled gracefully offline and online</t>
        </is>
      </c>
      <c r="I149" s="36" t="inlineStr">
        <is>
          <t>Idempotency keys on all creation calls</t>
        </is>
      </c>
      <c r="J149" s="43" t="inlineStr">
        <is>
          <t>Not started</t>
        </is>
      </c>
      <c r="K149" s="43" t="n"/>
      <c r="L149" s="43" t="n"/>
      <c r="M149" s="44" t="inlineStr">
        <is>
          <t>D145</t>
        </is>
      </c>
      <c r="N149" s="44" t="inlineStr">
        <is>
          <t>D145</t>
        </is>
      </c>
      <c r="O149" s="24" t="inlineStr">
        <is>
          <t>4.0h</t>
        </is>
      </c>
    </row>
    <row r="150" ht="15" customHeight="1" s="25">
      <c r="A150" s="36" t="n">
        <v>146</v>
      </c>
      <c r="B150" s="38">
        <f>WORKDAY(Config!$B$5,ROUND((A150-1)*5/Config!$B$6,0))</f>
        <v/>
      </c>
      <c r="C150" s="36" t="n">
        <v>8</v>
      </c>
      <c r="D150" s="36" t="inlineStr">
        <is>
          <t>Mobile Application</t>
        </is>
      </c>
      <c r="E150" s="36" t="inlineStr">
        <is>
          <t>Mobile customer flows</t>
        </is>
      </c>
      <c r="F150" s="37" t="inlineStr">
        <is>
          <t>Mobile checkout</t>
        </is>
      </c>
      <c r="G150" s="36" t="inlineStr">
        <is>
          <t>Stripe mobile SDK with hosted fields</t>
        </is>
      </c>
      <c r="H150" s="36" t="inlineStr">
        <is>
          <t>Payment completes on both platforms</t>
        </is>
      </c>
      <c r="I150" s="36" t="inlineStr">
        <is>
          <t>No card data touches our code on mobile either</t>
        </is>
      </c>
      <c r="J150" s="43" t="inlineStr">
        <is>
          <t>Not started</t>
        </is>
      </c>
      <c r="K150" s="43" t="n"/>
      <c r="L150" s="43" t="n"/>
      <c r="M150" s="44" t="inlineStr">
        <is>
          <t>D146</t>
        </is>
      </c>
      <c r="N150" s="44" t="inlineStr">
        <is>
          <t>D146</t>
        </is>
      </c>
      <c r="O150" s="24" t="inlineStr">
        <is>
          <t>3.0h</t>
        </is>
      </c>
    </row>
    <row r="151" ht="15" customHeight="1" s="25">
      <c r="A151" s="36" t="n">
        <v>147</v>
      </c>
      <c r="B151" s="38">
        <f>WORKDAY(Config!$B$5,ROUND((A151-1)*5/Config!$B$6,0))</f>
        <v/>
      </c>
      <c r="C151" s="36" t="n">
        <v>8</v>
      </c>
      <c r="D151" s="36" t="inlineStr">
        <is>
          <t>Mobile Application</t>
        </is>
      </c>
      <c r="E151" s="36" t="inlineStr">
        <is>
          <t>Mobile customer flows</t>
        </is>
      </c>
      <c r="F151" s="37" t="inlineStr">
        <is>
          <t>Order history and upcoming</t>
        </is>
      </c>
      <c r="G151" s="36" t="inlineStr">
        <is>
          <t>Customer order screens</t>
        </is>
      </c>
      <c r="H151" s="36" t="inlineStr">
        <is>
          <t>Only own orders returned</t>
        </is>
      </c>
      <c r="I151" s="36" t="inlineStr">
        <is>
          <t>Ownership enforced server-side, not by client filter</t>
        </is>
      </c>
      <c r="J151" s="43" t="inlineStr">
        <is>
          <t>Not started</t>
        </is>
      </c>
      <c r="K151" s="43" t="n"/>
      <c r="L151" s="43" t="n"/>
      <c r="M151" s="44" t="inlineStr">
        <is>
          <t>D147</t>
        </is>
      </c>
      <c r="N151" s="44" t="inlineStr">
        <is>
          <t>D147</t>
        </is>
      </c>
      <c r="O151" s="24" t="inlineStr">
        <is>
          <t>2.0h</t>
        </is>
      </c>
    </row>
    <row r="152" ht="15" customHeight="1" s="25">
      <c r="A152" s="36" t="n">
        <v>148</v>
      </c>
      <c r="B152" s="38">
        <f>WORKDAY(Config!$B$5,ROUND((A152-1)*5/Config!$B$6,0))</f>
        <v/>
      </c>
      <c r="C152" s="36" t="n">
        <v>8</v>
      </c>
      <c r="D152" s="36" t="inlineStr">
        <is>
          <t>Mobile Application</t>
        </is>
      </c>
      <c r="E152" s="36" t="inlineStr">
        <is>
          <t>Mobile customer flows</t>
        </is>
      </c>
      <c r="F152" s="37" t="inlineStr">
        <is>
          <t>Push notifications</t>
        </is>
      </c>
      <c r="G152" s="36" t="inlineStr">
        <is>
          <t>Confirmations, reminders, return-due</t>
        </is>
      </c>
      <c r="H152" s="36" t="inlineStr">
        <is>
          <t>Delivered on both platforms</t>
        </is>
      </c>
      <c r="I152" s="36" t="inlineStr">
        <is>
          <t>No sensitive detail in notification payloads</t>
        </is>
      </c>
      <c r="J152" s="43" t="inlineStr">
        <is>
          <t>Not started</t>
        </is>
      </c>
      <c r="K152" s="43" t="n"/>
      <c r="L152" s="43" t="n"/>
      <c r="M152" s="44" t="inlineStr">
        <is>
          <t>D148</t>
        </is>
      </c>
      <c r="N152" s="44" t="inlineStr">
        <is>
          <t>D148</t>
        </is>
      </c>
      <c r="O152" s="24" t="inlineStr">
        <is>
          <t>2.0h</t>
        </is>
      </c>
    </row>
    <row r="153" ht="23.85" customHeight="1" s="25">
      <c r="A153" s="36" t="n">
        <v>149</v>
      </c>
      <c r="B153" s="38">
        <f>WORKDAY(Config!$B$5,ROUND((A153-1)*5/Config!$B$6,0))</f>
        <v/>
      </c>
      <c r="C153" s="36" t="n">
        <v>8</v>
      </c>
      <c r="D153" s="36" t="inlineStr">
        <is>
          <t>Mobile Application</t>
        </is>
      </c>
      <c r="E153" s="36" t="inlineStr">
        <is>
          <t>Mobile customer flows</t>
        </is>
      </c>
      <c r="F153" s="37" t="inlineStr">
        <is>
          <t>Read caching</t>
        </is>
      </c>
      <c r="G153" s="36" t="inlineStr">
        <is>
          <t>Offline-tolerant reads; no offline writes</t>
        </is>
      </c>
      <c r="H153" s="36" t="inlineStr">
        <is>
          <t>Cached reads work; writes fail clearly when offline</t>
        </is>
      </c>
      <c r="I153" s="36" t="inlineStr">
        <is>
          <t>Offline writes explicitly out of scope (accepted risk)</t>
        </is>
      </c>
      <c r="J153" s="43" t="inlineStr">
        <is>
          <t>Not started</t>
        </is>
      </c>
      <c r="K153" s="43" t="n"/>
      <c r="L153" s="43" t="n"/>
      <c r="M153" s="44" t="inlineStr">
        <is>
          <t>D149</t>
        </is>
      </c>
      <c r="N153" s="44" t="inlineStr">
        <is>
          <t>D149</t>
        </is>
      </c>
      <c r="O153" s="24" t="inlineStr">
        <is>
          <t>2.0h</t>
        </is>
      </c>
    </row>
    <row r="154" ht="23.85" customHeight="1" s="25">
      <c r="A154" s="36" t="n">
        <v>150</v>
      </c>
      <c r="B154" s="38">
        <f>WORKDAY(Config!$B$5,ROUND((A154-1)*5/Config!$B$6,0))</f>
        <v/>
      </c>
      <c r="C154" s="36" t="n">
        <v>8</v>
      </c>
      <c r="D154" s="36" t="inlineStr">
        <is>
          <t>Mobile Application</t>
        </is>
      </c>
      <c r="E154" s="36" t="inlineStr">
        <is>
          <t>Mobile customer flows</t>
        </is>
      </c>
      <c r="F154" s="37" t="inlineStr">
        <is>
          <t>Condition photo capture</t>
        </is>
      </c>
      <c r="G154" s="36" t="inlineStr">
        <is>
          <t>Camera capture for merchant staff</t>
        </is>
      </c>
      <c r="H154" s="36" t="inlineStr">
        <is>
          <t>Photos upload with hash and metadata</t>
        </is>
      </c>
      <c r="I154" s="36" t="inlineStr">
        <is>
          <t>Camera permission requested with clear purpose string</t>
        </is>
      </c>
      <c r="J154" s="43" t="inlineStr">
        <is>
          <t>Not started</t>
        </is>
      </c>
      <c r="K154" s="43" t="n"/>
      <c r="L154" s="43" t="n"/>
      <c r="M154" s="44" t="inlineStr">
        <is>
          <t>D150</t>
        </is>
      </c>
      <c r="N154" s="44" t="inlineStr">
        <is>
          <t>D150</t>
        </is>
      </c>
      <c r="O154" s="24" t="inlineStr">
        <is>
          <t>2.0h</t>
        </is>
      </c>
    </row>
    <row r="155" ht="15" customHeight="1" s="25">
      <c r="A155" s="36" t="n">
        <v>151</v>
      </c>
      <c r="B155" s="38">
        <f>WORKDAY(Config!$B$5,ROUND((A155-1)*5/Config!$B$6,0))</f>
        <v/>
      </c>
      <c r="C155" s="36" t="n">
        <v>8</v>
      </c>
      <c r="D155" s="36" t="inlineStr">
        <is>
          <t>Mobile Application</t>
        </is>
      </c>
      <c r="E155" s="36" t="inlineStr">
        <is>
          <t>Mobile customer flows</t>
        </is>
      </c>
      <c r="F155" s="37" t="inlineStr">
        <is>
          <t>Store builds and distribution</t>
        </is>
      </c>
      <c r="G155" s="36" t="inlineStr">
        <is>
          <t>Signing, TestFlight, Play internal testing</t>
        </is>
      </c>
      <c r="H155" s="36" t="inlineStr">
        <is>
          <t>Internal testers can install both builds</t>
        </is>
      </c>
      <c r="I155" s="36" t="inlineStr">
        <is>
          <t>Signing keys in Secrets Manager, never in the repo</t>
        </is>
      </c>
      <c r="J155" s="43" t="inlineStr">
        <is>
          <t>Not started</t>
        </is>
      </c>
      <c r="K155" s="43" t="n"/>
      <c r="L155" s="43" t="n"/>
      <c r="M155" s="44" t="inlineStr">
        <is>
          <t>D151</t>
        </is>
      </c>
      <c r="N155" s="44" t="inlineStr">
        <is>
          <t>D151</t>
        </is>
      </c>
      <c r="O155" s="24" t="inlineStr">
        <is>
          <t>2.0h</t>
        </is>
      </c>
    </row>
    <row r="156" ht="15" customHeight="1" s="25">
      <c r="A156" s="45" t="n">
        <v>152</v>
      </c>
      <c r="B156" s="46">
        <f>WORKDAY(Config!$B$5,ROUND((A156-1)*5/Config!$B$6,0))</f>
        <v/>
      </c>
      <c r="C156" s="45" t="n">
        <v>8</v>
      </c>
      <c r="D156" s="45" t="inlineStr">
        <is>
          <t>Mobile Application</t>
        </is>
      </c>
      <c r="E156" s="45" t="inlineStr">
        <is>
          <t>Mobile customer flows</t>
        </is>
      </c>
      <c r="F156" s="47" t="inlineStr">
        <is>
          <t>Mobile E2E — GATE G8</t>
        </is>
      </c>
      <c r="G156" s="45" t="inlineStr">
        <is>
          <t>Automated mobile test suite</t>
        </is>
      </c>
      <c r="H156" s="45" t="inlineStr">
        <is>
          <t>Customer flows pass on both platforms</t>
        </is>
      </c>
      <c r="I156" s="45" t="inlineStr">
        <is>
          <t>G8 record filed</t>
        </is>
      </c>
      <c r="J156" s="43" t="inlineStr">
        <is>
          <t>Not started</t>
        </is>
      </c>
      <c r="K156" s="43" t="n"/>
      <c r="L156" s="43" t="n"/>
      <c r="M156" s="44" t="inlineStr">
        <is>
          <t>D152</t>
        </is>
      </c>
      <c r="N156" s="44" t="inlineStr">
        <is>
          <t>D152</t>
        </is>
      </c>
      <c r="O156" s="24" t="inlineStr">
        <is>
          <t>4.0h</t>
        </is>
      </c>
    </row>
    <row r="157" ht="23.85" customHeight="1" s="25">
      <c r="A157" s="36" t="n">
        <v>153</v>
      </c>
      <c r="B157" s="38">
        <f>WORKDAY(Config!$B$5,ROUND((A157-1)*5/Config!$B$6,0))</f>
        <v/>
      </c>
      <c r="C157" s="36" t="n">
        <v>9</v>
      </c>
      <c r="D157" s="36" t="inlineStr">
        <is>
          <t>Security Hardening &amp; Compliance Pack</t>
        </is>
      </c>
      <c r="E157" s="36" t="inlineStr">
        <is>
          <t>Testing</t>
        </is>
      </c>
      <c r="F157" s="37" t="inlineStr">
        <is>
          <t>Penetration test scoping</t>
        </is>
      </c>
      <c r="G157" s="36" t="inlineStr">
        <is>
          <t>Scope, rules of engagement, engagement booked</t>
        </is>
      </c>
      <c r="H157" s="36" t="inlineStr">
        <is>
          <t>Tester has environment access</t>
        </is>
      </c>
      <c r="I157" s="36" t="inlineStr">
        <is>
          <t>Test against staging with synthetic data only</t>
        </is>
      </c>
      <c r="J157" s="43" t="inlineStr">
        <is>
          <t>Not started</t>
        </is>
      </c>
      <c r="K157" s="43" t="n"/>
      <c r="L157" s="43" t="n"/>
      <c r="M157" s="44" t="inlineStr">
        <is>
          <t>D153</t>
        </is>
      </c>
      <c r="N157" s="44" t="inlineStr">
        <is>
          <t>D153</t>
        </is>
      </c>
      <c r="O157" s="24" t="inlineStr">
        <is>
          <t>2.0h</t>
        </is>
      </c>
    </row>
    <row r="158" ht="23.85" customHeight="1" s="25">
      <c r="A158" s="36" t="n">
        <v>154</v>
      </c>
      <c r="B158" s="38">
        <f>WORKDAY(Config!$B$5,ROUND((A158-1)*5/Config!$B$6,0))</f>
        <v/>
      </c>
      <c r="C158" s="36" t="n">
        <v>9</v>
      </c>
      <c r="D158" s="36" t="inlineStr">
        <is>
          <t>Security Hardening &amp; Compliance Pack</t>
        </is>
      </c>
      <c r="E158" s="36" t="inlineStr">
        <is>
          <t>Testing</t>
        </is>
      </c>
      <c r="F158" s="37" t="inlineStr">
        <is>
          <t>Pen test remediation round 1</t>
        </is>
      </c>
      <c r="G158" s="36" t="inlineStr">
        <is>
          <t>Critical and high findings fixed</t>
        </is>
      </c>
      <c r="H158" s="36" t="inlineStr">
        <is>
          <t>All criticals closed</t>
        </is>
      </c>
      <c r="I158" s="36" t="inlineStr">
        <is>
          <t>Each finding gets a regression test</t>
        </is>
      </c>
      <c r="J158" s="43" t="inlineStr">
        <is>
          <t>Not started</t>
        </is>
      </c>
      <c r="K158" s="43" t="n"/>
      <c r="L158" s="43" t="n"/>
      <c r="M158" s="44" t="inlineStr">
        <is>
          <t>D154</t>
        </is>
      </c>
      <c r="N158" s="44" t="inlineStr">
        <is>
          <t>D154</t>
        </is>
      </c>
      <c r="O158" s="24" t="inlineStr">
        <is>
          <t>2.0h</t>
        </is>
      </c>
    </row>
    <row r="159" ht="23.85" customHeight="1" s="25">
      <c r="A159" s="36" t="n">
        <v>155</v>
      </c>
      <c r="B159" s="38">
        <f>WORKDAY(Config!$B$5,ROUND((A159-1)*5/Config!$B$6,0))</f>
        <v/>
      </c>
      <c r="C159" s="36" t="n">
        <v>9</v>
      </c>
      <c r="D159" s="36" t="inlineStr">
        <is>
          <t>Security Hardening &amp; Compliance Pack</t>
        </is>
      </c>
      <c r="E159" s="36" t="inlineStr">
        <is>
          <t>Testing</t>
        </is>
      </c>
      <c r="F159" s="37" t="inlineStr">
        <is>
          <t>Pen test remediation round 2 and retest</t>
        </is>
      </c>
      <c r="G159" s="36" t="inlineStr">
        <is>
          <t>Remaining findings; retest clean</t>
        </is>
      </c>
      <c r="H159" s="36" t="inlineStr">
        <is>
          <t>Retest report clean of critical/high</t>
        </is>
      </c>
      <c r="I159" s="36" t="inlineStr">
        <is>
          <t>Retest evidence filed for control mapping</t>
        </is>
      </c>
      <c r="J159" s="43" t="inlineStr">
        <is>
          <t>Not started</t>
        </is>
      </c>
      <c r="K159" s="43" t="n"/>
      <c r="L159" s="43" t="n"/>
      <c r="M159" s="44" t="inlineStr">
        <is>
          <t>D155</t>
        </is>
      </c>
      <c r="N159" s="44" t="inlineStr">
        <is>
          <t>D155</t>
        </is>
      </c>
      <c r="O159" s="24" t="inlineStr">
        <is>
          <t>2.0h</t>
        </is>
      </c>
    </row>
    <row r="160" ht="23.85" customHeight="1" s="25">
      <c r="A160" s="36" t="n">
        <v>156</v>
      </c>
      <c r="B160" s="38">
        <f>WORKDAY(Config!$B$5,ROUND((A160-1)*5/Config!$B$6,0))</f>
        <v/>
      </c>
      <c r="C160" s="36" t="n">
        <v>9</v>
      </c>
      <c r="D160" s="36" t="inlineStr">
        <is>
          <t>Security Hardening &amp; Compliance Pack</t>
        </is>
      </c>
      <c r="E160" s="36" t="inlineStr">
        <is>
          <t>Testing</t>
        </is>
      </c>
      <c r="F160" s="37" t="inlineStr">
        <is>
          <t>Load test: availability endpoint</t>
        </is>
      </c>
      <c r="G160" s="36" t="inlineStr">
        <is>
          <t>k6 scenario at expected peak x5</t>
        </is>
      </c>
      <c r="H160" s="36" t="inlineStr">
        <is>
          <t>Latency within budget; cache effective</t>
        </is>
      </c>
      <c r="I160" s="36" t="inlineStr">
        <is>
          <t>Confirms rate limits hold under load</t>
        </is>
      </c>
      <c r="J160" s="43" t="inlineStr">
        <is>
          <t>Not started</t>
        </is>
      </c>
      <c r="K160" s="43" t="n"/>
      <c r="L160" s="43" t="n"/>
      <c r="M160" s="44" t="inlineStr">
        <is>
          <t>D156</t>
        </is>
      </c>
      <c r="N160" s="44" t="inlineStr">
        <is>
          <t>D156</t>
        </is>
      </c>
      <c r="O160" s="24" t="inlineStr">
        <is>
          <t>2.0h</t>
        </is>
      </c>
    </row>
    <row r="161" ht="23.85" customHeight="1" s="25">
      <c r="A161" s="36" t="n">
        <v>157</v>
      </c>
      <c r="B161" s="38">
        <f>WORKDAY(Config!$B$5,ROUND((A161-1)*5/Config!$B$6,0))</f>
        <v/>
      </c>
      <c r="C161" s="36" t="n">
        <v>9</v>
      </c>
      <c r="D161" s="36" t="inlineStr">
        <is>
          <t>Security Hardening &amp; Compliance Pack</t>
        </is>
      </c>
      <c r="E161" s="36" t="inlineStr">
        <is>
          <t>Testing</t>
        </is>
      </c>
      <c r="F161" s="37" t="inlineStr">
        <is>
          <t>Load test: reservation creation</t>
        </is>
      </c>
      <c r="G161" s="36" t="inlineStr">
        <is>
          <t>Concurrent reservation load</t>
        </is>
      </c>
      <c r="H161" s="36" t="inlineStr">
        <is>
          <t>No overlaps created under sustained load</t>
        </is>
      </c>
      <c r="I161" s="36" t="inlineStr">
        <is>
          <t>The concurrency guarantee verified at scale, not just in unit tests</t>
        </is>
      </c>
      <c r="J161" s="43" t="inlineStr">
        <is>
          <t>Not started</t>
        </is>
      </c>
      <c r="K161" s="43" t="n"/>
      <c r="L161" s="43" t="n"/>
      <c r="M161" s="44" t="inlineStr">
        <is>
          <t>D157</t>
        </is>
      </c>
      <c r="N161" s="44" t="inlineStr">
        <is>
          <t>D157</t>
        </is>
      </c>
      <c r="O161" s="24" t="inlineStr">
        <is>
          <t>4.0h</t>
        </is>
      </c>
    </row>
    <row r="162" ht="23.85" customHeight="1" s="25">
      <c r="A162" s="36" t="n">
        <v>158</v>
      </c>
      <c r="B162" s="38">
        <f>WORKDAY(Config!$B$5,ROUND((A162-1)*5/Config!$B$6,0))</f>
        <v/>
      </c>
      <c r="C162" s="36" t="n">
        <v>9</v>
      </c>
      <c r="D162" s="36" t="inlineStr">
        <is>
          <t>Security Hardening &amp; Compliance Pack</t>
        </is>
      </c>
      <c r="E162" s="36" t="inlineStr">
        <is>
          <t>Testing</t>
        </is>
      </c>
      <c r="F162" s="37" t="inlineStr">
        <is>
          <t>Performance remediation</t>
        </is>
      </c>
      <c r="G162" s="36" t="inlineStr">
        <is>
          <t>Fixes from load results</t>
        </is>
      </c>
      <c r="H162" s="36" t="inlineStr">
        <is>
          <t>Targets met on re-run</t>
        </is>
      </c>
      <c r="I162" s="36" t="inlineStr">
        <is>
          <t>No correctness traded for speed</t>
        </is>
      </c>
      <c r="J162" s="43" t="inlineStr">
        <is>
          <t>Not started</t>
        </is>
      </c>
      <c r="K162" s="43" t="n"/>
      <c r="L162" s="43" t="n"/>
      <c r="M162" s="44" t="inlineStr">
        <is>
          <t>D158</t>
        </is>
      </c>
      <c r="N162" s="44" t="inlineStr">
        <is>
          <t>D158</t>
        </is>
      </c>
      <c r="O162" s="24" t="inlineStr">
        <is>
          <t>2.0h</t>
        </is>
      </c>
    </row>
    <row r="163" ht="23.85" customHeight="1" s="25">
      <c r="A163" s="36" t="n">
        <v>159</v>
      </c>
      <c r="B163" s="38">
        <f>WORKDAY(Config!$B$5,ROUND((A163-1)*5/Config!$B$6,0))</f>
        <v/>
      </c>
      <c r="C163" s="36" t="n">
        <v>9</v>
      </c>
      <c r="D163" s="36" t="inlineStr">
        <is>
          <t>Security Hardening &amp; Compliance Pack</t>
        </is>
      </c>
      <c r="E163" s="36" t="inlineStr">
        <is>
          <t>Hardening</t>
        </is>
      </c>
      <c r="F163" s="37" t="inlineStr">
        <is>
          <t>WAF, rate limits, CSP</t>
        </is>
      </c>
      <c r="G163" s="36" t="inlineStr">
        <is>
          <t>Rules tuned; CSP without unsafe-inline</t>
        </is>
      </c>
      <c r="H163" s="36" t="inlineStr">
        <is>
          <t>Common attack patterns blocked; CSP violations zero</t>
        </is>
      </c>
      <c r="I163" s="36" t="inlineStr">
        <is>
          <t>Defence in depth at the edge</t>
        </is>
      </c>
      <c r="J163" s="43" t="inlineStr">
        <is>
          <t>Not started</t>
        </is>
      </c>
      <c r="K163" s="43" t="n"/>
      <c r="L163" s="43" t="n"/>
      <c r="M163" s="44" t="inlineStr">
        <is>
          <t>D159</t>
        </is>
      </c>
      <c r="N163" s="44" t="inlineStr">
        <is>
          <t>D159</t>
        </is>
      </c>
      <c r="O163" s="24" t="inlineStr">
        <is>
          <t>2.0h</t>
        </is>
      </c>
    </row>
    <row r="164" ht="23.85" customHeight="1" s="25">
      <c r="A164" s="36" t="n">
        <v>160</v>
      </c>
      <c r="B164" s="38">
        <f>WORKDAY(Config!$B$5,ROUND((A164-1)*5/Config!$B$6,0))</f>
        <v/>
      </c>
      <c r="C164" s="36" t="n">
        <v>9</v>
      </c>
      <c r="D164" s="36" t="inlineStr">
        <is>
          <t>Security Hardening &amp; Compliance Pack</t>
        </is>
      </c>
      <c r="E164" s="36" t="inlineStr">
        <is>
          <t>Hardening</t>
        </is>
      </c>
      <c r="F164" s="37" t="inlineStr">
        <is>
          <t>Alerting</t>
        </is>
      </c>
      <c r="G164" s="36" t="inlineStr">
        <is>
          <t>Security events, error rate, latency, job failures</t>
        </is>
      </c>
      <c r="H164" s="36" t="inlineStr">
        <is>
          <t>Test alerts fire and route correctly</t>
        </is>
      </c>
      <c r="I164" s="36" t="inlineStr">
        <is>
          <t>Tuned to genuine impact — no rotation exists to absorb noise</t>
        </is>
      </c>
      <c r="J164" s="43" t="inlineStr">
        <is>
          <t>Not started</t>
        </is>
      </c>
      <c r="K164" s="43" t="n"/>
      <c r="L164" s="43" t="n"/>
      <c r="M164" s="44" t="inlineStr">
        <is>
          <t>D160</t>
        </is>
      </c>
      <c r="N164" s="44" t="inlineStr">
        <is>
          <t>D160</t>
        </is>
      </c>
      <c r="O164" s="24" t="inlineStr">
        <is>
          <t>2.0h</t>
        </is>
      </c>
    </row>
    <row r="165" ht="23.85" customHeight="1" s="25">
      <c r="A165" s="36" t="n">
        <v>161</v>
      </c>
      <c r="B165" s="38">
        <f>WORKDAY(Config!$B$5,ROUND((A165-1)*5/Config!$B$6,0))</f>
        <v/>
      </c>
      <c r="C165" s="36" t="n">
        <v>9</v>
      </c>
      <c r="D165" s="36" t="inlineStr">
        <is>
          <t>Security Hardening &amp; Compliance Pack</t>
        </is>
      </c>
      <c r="E165" s="36" t="inlineStr">
        <is>
          <t>Hardening</t>
        </is>
      </c>
      <c r="F165" s="37" t="inlineStr">
        <is>
          <t>Hash-chain verification scheduling</t>
        </is>
      </c>
      <c r="G165" s="36" t="inlineStr">
        <is>
          <t>Scheduled verification with alerting</t>
        </is>
      </c>
      <c r="H165" s="36" t="inlineStr">
        <is>
          <t>Injected tamper triggers an alert</t>
        </is>
      </c>
      <c r="I165" s="36" t="inlineStr">
        <is>
          <t>Log integrity monitoring, not just logging</t>
        </is>
      </c>
      <c r="J165" s="43" t="inlineStr">
        <is>
          <t>Not started</t>
        </is>
      </c>
      <c r="K165" s="43" t="n"/>
      <c r="L165" s="43" t="n"/>
      <c r="M165" s="44" t="inlineStr">
        <is>
          <t>D161</t>
        </is>
      </c>
      <c r="N165" s="44" t="inlineStr">
        <is>
          <t>D161</t>
        </is>
      </c>
      <c r="O165" s="24" t="inlineStr">
        <is>
          <t>2.0h</t>
        </is>
      </c>
    </row>
    <row r="166" ht="23.85" customHeight="1" s="25">
      <c r="A166" s="36" t="n">
        <v>162</v>
      </c>
      <c r="B166" s="38">
        <f>WORKDAY(Config!$B$5,ROUND((A166-1)*5/Config!$B$6,0))</f>
        <v/>
      </c>
      <c r="C166" s="36" t="n">
        <v>9</v>
      </c>
      <c r="D166" s="36" t="inlineStr">
        <is>
          <t>Security Hardening &amp; Compliance Pack</t>
        </is>
      </c>
      <c r="E166" s="36" t="inlineStr">
        <is>
          <t>Compliance</t>
        </is>
      </c>
      <c r="F166" s="37" t="inlineStr">
        <is>
          <t>PCI SAQ A completion</t>
        </is>
      </c>
      <c r="G166" s="36" t="inlineStr">
        <is>
          <t>SAQ completed; provider attestations filed</t>
        </is>
      </c>
      <c r="H166" s="36" t="inlineStr">
        <is>
          <t>SAQ signed and stored in /docs/compliance/pci-saq-a</t>
        </is>
      </c>
      <c r="I166" s="36" t="inlineStr">
        <is>
          <t>Eligibility conditions each evidenced by a test</t>
        </is>
      </c>
      <c r="J166" s="43" t="inlineStr">
        <is>
          <t>Not started</t>
        </is>
      </c>
      <c r="K166" s="43" t="n"/>
      <c r="L166" s="43" t="n"/>
      <c r="M166" s="44" t="inlineStr">
        <is>
          <t>D162</t>
        </is>
      </c>
      <c r="N166" s="44" t="inlineStr">
        <is>
          <t>D162</t>
        </is>
      </c>
      <c r="O166" s="24" t="inlineStr">
        <is>
          <t>2.0h</t>
        </is>
      </c>
    </row>
    <row r="167" ht="23.85" customHeight="1" s="25">
      <c r="A167" s="36" t="n">
        <v>163</v>
      </c>
      <c r="B167" s="38">
        <f>WORKDAY(Config!$B$5,ROUND((A167-1)*5/Config!$B$6,0))</f>
        <v/>
      </c>
      <c r="C167" s="36" t="n">
        <v>9</v>
      </c>
      <c r="D167" s="36" t="inlineStr">
        <is>
          <t>Security Hardening &amp; Compliance Pack</t>
        </is>
      </c>
      <c r="E167" s="36" t="inlineStr">
        <is>
          <t>Compliance</t>
        </is>
      </c>
      <c r="F167" s="37" t="inlineStr">
        <is>
          <t>First access review</t>
        </is>
      </c>
      <c r="G167" s="36" t="inlineStr">
        <is>
          <t>Roles across repo, cloud, IdP reviewed and recorded</t>
        </is>
      </c>
      <c r="H167" s="36" t="inlineStr">
        <is>
          <t>Review record filed</t>
        </is>
      </c>
      <c r="I167" s="36" t="inlineStr">
        <is>
          <t>SOC 2 CC6 evidence; the one recurring human control</t>
        </is>
      </c>
      <c r="J167" s="43" t="inlineStr">
        <is>
          <t>Not started</t>
        </is>
      </c>
      <c r="K167" s="43" t="n"/>
      <c r="L167" s="43" t="n"/>
      <c r="M167" s="44" t="inlineStr">
        <is>
          <t>D163</t>
        </is>
      </c>
      <c r="N167" s="44" t="inlineStr">
        <is>
          <t>D163</t>
        </is>
      </c>
      <c r="O167" s="24" t="inlineStr">
        <is>
          <t>2.0h</t>
        </is>
      </c>
    </row>
    <row r="168" ht="23.85" customHeight="1" s="25">
      <c r="A168" s="36" t="n">
        <v>164</v>
      </c>
      <c r="B168" s="38">
        <f>WORKDAY(Config!$B$5,ROUND((A168-1)*5/Config!$B$6,0))</f>
        <v/>
      </c>
      <c r="C168" s="36" t="n">
        <v>9</v>
      </c>
      <c r="D168" s="36" t="inlineStr">
        <is>
          <t>Security Hardening &amp; Compliance Pack</t>
        </is>
      </c>
      <c r="E168" s="36" t="inlineStr">
        <is>
          <t>Compliance</t>
        </is>
      </c>
      <c r="F168" s="37" t="inlineStr">
        <is>
          <t>Incident response tabletop</t>
        </is>
      </c>
      <c r="G168" s="36" t="inlineStr">
        <is>
          <t>Exercise run against a realistic scenario</t>
        </is>
      </c>
      <c r="H168" s="36" t="inlineStr">
        <is>
          <t>Exercise record with lessons filed</t>
        </is>
      </c>
      <c r="I168" s="36" t="inlineStr">
        <is>
          <t>A plan never exercised is a document, not a capability</t>
        </is>
      </c>
      <c r="J168" s="43" t="inlineStr">
        <is>
          <t>Not started</t>
        </is>
      </c>
      <c r="K168" s="43" t="n"/>
      <c r="L168" s="43" t="n"/>
      <c r="M168" s="44" t="inlineStr">
        <is>
          <t>D164</t>
        </is>
      </c>
      <c r="N168" s="44" t="inlineStr">
        <is>
          <t>D164</t>
        </is>
      </c>
      <c r="O168" s="24" t="inlineStr">
        <is>
          <t>2.0h</t>
        </is>
      </c>
    </row>
    <row r="169" ht="23.85" customHeight="1" s="25">
      <c r="A169" s="36" t="n">
        <v>165</v>
      </c>
      <c r="B169" s="38">
        <f>WORKDAY(Config!$B$5,ROUND((A169-1)*5/Config!$B$6,0))</f>
        <v/>
      </c>
      <c r="C169" s="36" t="n">
        <v>9</v>
      </c>
      <c r="D169" s="36" t="inlineStr">
        <is>
          <t>Security Hardening &amp; Compliance Pack</t>
        </is>
      </c>
      <c r="E169" s="36" t="inlineStr">
        <is>
          <t>Compliance</t>
        </is>
      </c>
      <c r="F169" s="37" t="inlineStr">
        <is>
          <t>Evidence pack assembly</t>
        </is>
      </c>
      <c r="G169" s="36" t="inlineStr">
        <is>
          <t>/docs/compliance/evidence populated from CI artifacts</t>
        </is>
      </c>
      <c r="H169" s="36" t="inlineStr">
        <is>
          <t>SBOMs, scans, test results, gate records all present</t>
        </is>
      </c>
      <c r="I169" s="36" t="inlineStr">
        <is>
          <t>Evidence by design — nothing written just for an auditor</t>
        </is>
      </c>
      <c r="J169" s="43" t="inlineStr">
        <is>
          <t>Not started</t>
        </is>
      </c>
      <c r="K169" s="43" t="n"/>
      <c r="L169" s="43" t="n"/>
      <c r="M169" s="44" t="inlineStr">
        <is>
          <t>D165</t>
        </is>
      </c>
      <c r="N169" s="44" t="inlineStr">
        <is>
          <t>D165</t>
        </is>
      </c>
      <c r="O169" s="24" t="inlineStr">
        <is>
          <t>2.0h</t>
        </is>
      </c>
    </row>
    <row r="170" ht="23.85" customHeight="1" s="25">
      <c r="A170" s="45" t="n">
        <v>166</v>
      </c>
      <c r="B170" s="46">
        <f>WORKDAY(Config!$B$5,ROUND((A170-1)*5/Config!$B$6,0))</f>
        <v/>
      </c>
      <c r="C170" s="45" t="n">
        <v>9</v>
      </c>
      <c r="D170" s="45" t="inlineStr">
        <is>
          <t>Security Hardening &amp; Compliance Pack</t>
        </is>
      </c>
      <c r="E170" s="45" t="inlineStr">
        <is>
          <t>Compliance</t>
        </is>
      </c>
      <c r="F170" s="47" t="inlineStr">
        <is>
          <t>Control mapping review — GATE G9</t>
        </is>
      </c>
      <c r="G170" s="45" t="inlineStr">
        <is>
          <t>Mapping reviewed against NIST CSF 2.0</t>
        </is>
      </c>
      <c r="H170" s="45" t="inlineStr">
        <is>
          <t>Every control has a named, existing artifact</t>
        </is>
      </c>
      <c r="I170" s="45" t="inlineStr">
        <is>
          <t>G9 record filed</t>
        </is>
      </c>
      <c r="J170" s="43" t="inlineStr">
        <is>
          <t>Not started</t>
        </is>
      </c>
      <c r="K170" s="43" t="n"/>
      <c r="L170" s="43" t="n"/>
      <c r="M170" s="44" t="inlineStr">
        <is>
          <t>D166</t>
        </is>
      </c>
      <c r="N170" s="44" t="inlineStr">
        <is>
          <t>D166</t>
        </is>
      </c>
      <c r="O170" s="24" t="inlineStr">
        <is>
          <t>3.5h</t>
        </is>
      </c>
    </row>
    <row r="171" ht="23.85" customHeight="1" s="25">
      <c r="A171" s="36" t="n">
        <v>167</v>
      </c>
      <c r="B171" s="38">
        <f>WORKDAY(Config!$B$5,ROUND((A171-1)*5/Config!$B$6,0))</f>
        <v/>
      </c>
      <c r="C171" s="36" t="n">
        <v>10</v>
      </c>
      <c r="D171" s="36" t="inlineStr">
        <is>
          <t>Pilot Readiness &amp; Launch</t>
        </is>
      </c>
      <c r="E171" s="36" t="inlineStr">
        <is>
          <t>Production</t>
        </is>
      </c>
      <c r="F171" s="37" t="inlineStr">
        <is>
          <t>Terraform production stand-up</t>
        </is>
      </c>
      <c r="G171" s="36" t="inlineStr">
        <is>
          <t>VPC, ECS, RDS Multi-AZ, Redis, S3, WAF per 11</t>
        </is>
      </c>
      <c r="H171" s="36" t="inlineStr">
        <is>
          <t>Environment provisioned from code</t>
        </is>
      </c>
      <c r="I171" s="36" t="inlineStr">
        <is>
          <t>IaC is the asset-inventory evidence; RDS has no public endpoint</t>
        </is>
      </c>
      <c r="J171" s="43" t="inlineStr">
        <is>
          <t>Not started</t>
        </is>
      </c>
      <c r="K171" s="43" t="n"/>
      <c r="L171" s="43" t="n"/>
      <c r="M171" s="44" t="inlineStr">
        <is>
          <t>D167</t>
        </is>
      </c>
      <c r="N171" s="44" t="inlineStr">
        <is>
          <t>D167</t>
        </is>
      </c>
      <c r="O171" s="24" t="inlineStr">
        <is>
          <t>1.5h</t>
        </is>
      </c>
    </row>
    <row r="172" ht="15" customHeight="1" s="25">
      <c r="A172" s="36" t="n">
        <v>168</v>
      </c>
      <c r="B172" s="38">
        <f>WORKDAY(Config!$B$5,ROUND((A172-1)*5/Config!$B$6,0))</f>
        <v/>
      </c>
      <c r="C172" s="36" t="n">
        <v>10</v>
      </c>
      <c r="D172" s="36" t="inlineStr">
        <is>
          <t>Pilot Readiness &amp; Launch</t>
        </is>
      </c>
      <c r="E172" s="36" t="inlineStr">
        <is>
          <t>Production</t>
        </is>
      </c>
      <c r="F172" s="37" t="inlineStr">
        <is>
          <t>Production deploy pipeline</t>
        </is>
      </c>
      <c r="G172" s="36" t="inlineStr">
        <is>
          <t>Manual promotion gate; tagged releases</t>
        </is>
      </c>
      <c r="H172" s="36" t="inlineStr">
        <is>
          <t>A release deploys and rolls back cleanly</t>
        </is>
      </c>
      <c r="I172" s="36" t="inlineStr">
        <is>
          <t>Promotion requires explicit approval</t>
        </is>
      </c>
      <c r="J172" s="43" t="inlineStr">
        <is>
          <t>Not started</t>
        </is>
      </c>
      <c r="K172" s="43" t="n"/>
      <c r="L172" s="43" t="n"/>
      <c r="M172" s="44" t="inlineStr">
        <is>
          <t>D168</t>
        </is>
      </c>
      <c r="N172" s="44" t="inlineStr">
        <is>
          <t>D168</t>
        </is>
      </c>
      <c r="O172" s="24" t="inlineStr">
        <is>
          <t>1.5h</t>
        </is>
      </c>
    </row>
    <row r="173" ht="23.85" customHeight="1" s="25">
      <c r="A173" s="36" t="n">
        <v>169</v>
      </c>
      <c r="B173" s="38">
        <f>WORKDAY(Config!$B$5,ROUND((A173-1)*5/Config!$B$6,0))</f>
        <v/>
      </c>
      <c r="C173" s="36" t="n">
        <v>10</v>
      </c>
      <c r="D173" s="36" t="inlineStr">
        <is>
          <t>Pilot Readiness &amp; Launch</t>
        </is>
      </c>
      <c r="E173" s="36" t="inlineStr">
        <is>
          <t>Production</t>
        </is>
      </c>
      <c r="F173" s="37" t="inlineStr">
        <is>
          <t>Cutover rehearsal</t>
        </is>
      </c>
      <c r="G173" s="36" t="inlineStr">
        <is>
          <t>SQLite to PostgreSQL migration rehearsed on staging</t>
        </is>
      </c>
      <c r="H173" s="36" t="inlineStr">
        <is>
          <t>Full suite passes unchanged against PostgreSQL</t>
        </is>
      </c>
      <c r="I173" s="36" t="inlineStr">
        <is>
          <t>Exclusion constraint verified against real data volume</t>
        </is>
      </c>
      <c r="J173" s="43" t="inlineStr">
        <is>
          <t>Not started</t>
        </is>
      </c>
      <c r="K173" s="43" t="n"/>
      <c r="L173" s="43" t="n"/>
      <c r="M173" s="44" t="inlineStr">
        <is>
          <t>D169</t>
        </is>
      </c>
      <c r="N173" s="44" t="inlineStr">
        <is>
          <t>D169</t>
        </is>
      </c>
      <c r="O173" s="24" t="inlineStr">
        <is>
          <t>4.5h</t>
        </is>
      </c>
    </row>
    <row r="174" ht="23.85" customHeight="1" s="25">
      <c r="A174" s="36" t="n">
        <v>170</v>
      </c>
      <c r="B174" s="38">
        <f>WORKDAY(Config!$B$5,ROUND((A174-1)*5/Config!$B$6,0))</f>
        <v/>
      </c>
      <c r="C174" s="36" t="n">
        <v>10</v>
      </c>
      <c r="D174" s="36" t="inlineStr">
        <is>
          <t>Pilot Readiness &amp; Launch</t>
        </is>
      </c>
      <c r="E174" s="36" t="inlineStr">
        <is>
          <t>Production</t>
        </is>
      </c>
      <c r="F174" s="37" t="inlineStr">
        <is>
          <t>Backup and restore rehearsal</t>
        </is>
      </c>
      <c r="G174" s="36" t="inlineStr">
        <is>
          <t>Backups configured; restore performed end to end</t>
        </is>
      </c>
      <c r="H174" s="36" t="inlineStr">
        <is>
          <t>Restore completes within the stated RTO</t>
        </is>
      </c>
      <c r="I174" s="36" t="inlineStr">
        <is>
          <t>An untested restore is not a backup</t>
        </is>
      </c>
      <c r="J174" s="43" t="inlineStr">
        <is>
          <t>Not started</t>
        </is>
      </c>
      <c r="K174" s="43" t="n"/>
      <c r="L174" s="43" t="n"/>
      <c r="M174" s="44" t="inlineStr">
        <is>
          <t>D170</t>
        </is>
      </c>
      <c r="N174" s="44" t="inlineStr">
        <is>
          <t>D170</t>
        </is>
      </c>
      <c r="O174" s="24" t="inlineStr">
        <is>
          <t>1.5h</t>
        </is>
      </c>
    </row>
    <row r="175" ht="23.85" customHeight="1" s="25">
      <c r="A175" s="36" t="n">
        <v>171</v>
      </c>
      <c r="B175" s="38">
        <f>WORKDAY(Config!$B$5,ROUND((A175-1)*5/Config!$B$6,0))</f>
        <v/>
      </c>
      <c r="C175" s="36" t="n">
        <v>10</v>
      </c>
      <c r="D175" s="36" t="inlineStr">
        <is>
          <t>Pilot Readiness &amp; Launch</t>
        </is>
      </c>
      <c r="E175" s="36" t="inlineStr">
        <is>
          <t>Production</t>
        </is>
      </c>
      <c r="F175" s="37" t="inlineStr">
        <is>
          <t>Runbooks</t>
        </is>
      </c>
      <c r="G175" s="36" t="inlineStr">
        <is>
          <t>Failover, deposit mismatch, stuck sweeper, webhook backlog</t>
        </is>
      </c>
      <c r="H175" s="36" t="inlineStr">
        <is>
          <t>Each runbook walked through once</t>
        </is>
      </c>
      <c r="I175" s="36" t="inlineStr">
        <is>
          <t>Written for the failures that will actually occur</t>
        </is>
      </c>
      <c r="J175" s="43" t="inlineStr">
        <is>
          <t>Not started</t>
        </is>
      </c>
      <c r="K175" s="43" t="n"/>
      <c r="L175" s="43" t="n"/>
      <c r="M175" s="44" t="inlineStr">
        <is>
          <t>D171</t>
        </is>
      </c>
      <c r="N175" s="44" t="inlineStr">
        <is>
          <t>D171</t>
        </is>
      </c>
      <c r="O175" s="24" t="inlineStr">
        <is>
          <t>4.0h</t>
        </is>
      </c>
    </row>
    <row r="176" ht="15" customHeight="1" s="25">
      <c r="A176" s="36" t="n">
        <v>172</v>
      </c>
      <c r="B176" s="38">
        <f>WORKDAY(Config!$B$5,ROUND((A176-1)*5/Config!$B$6,0))</f>
        <v/>
      </c>
      <c r="C176" s="36" t="n">
        <v>10</v>
      </c>
      <c r="D176" s="36" t="inlineStr">
        <is>
          <t>Pilot Readiness &amp; Launch</t>
        </is>
      </c>
      <c r="E176" s="36" t="inlineStr">
        <is>
          <t>Production</t>
        </is>
      </c>
      <c r="F176" s="37" t="inlineStr">
        <is>
          <t>Monitoring and on-call tuning</t>
        </is>
      </c>
      <c r="G176" s="36" t="inlineStr">
        <is>
          <t>Dashboards; alert thresholds tuned</t>
        </is>
      </c>
      <c r="H176" s="36" t="inlineStr">
        <is>
          <t>No false pages during a 48-hour soak</t>
        </is>
      </c>
      <c r="I176" s="36" t="inlineStr">
        <is>
          <t>Alert fatigue is a real risk with no rotation</t>
        </is>
      </c>
      <c r="J176" s="43" t="inlineStr">
        <is>
          <t>Not started</t>
        </is>
      </c>
      <c r="K176" s="43" t="n"/>
      <c r="L176" s="43" t="n"/>
      <c r="M176" s="44" t="inlineStr">
        <is>
          <t>D172</t>
        </is>
      </c>
      <c r="N176" s="44" t="inlineStr">
        <is>
          <t>D172</t>
        </is>
      </c>
      <c r="O176" s="24" t="inlineStr">
        <is>
          <t>1.5h</t>
        </is>
      </c>
    </row>
    <row r="177" ht="23.85" customHeight="1" s="25">
      <c r="A177" s="36" t="n">
        <v>173</v>
      </c>
      <c r="B177" s="38">
        <f>WORKDAY(Config!$B$5,ROUND((A177-1)*5/Config!$B$6,0))</f>
        <v/>
      </c>
      <c r="C177" s="36" t="n">
        <v>10</v>
      </c>
      <c r="D177" s="36" t="inlineStr">
        <is>
          <t>Pilot Readiness &amp; Launch</t>
        </is>
      </c>
      <c r="E177" s="36" t="inlineStr">
        <is>
          <t>Production</t>
        </is>
      </c>
      <c r="F177" s="37" t="inlineStr">
        <is>
          <t>Merchant onboarding materials</t>
        </is>
      </c>
      <c r="G177" s="36" t="inlineStr">
        <is>
          <t>Walkthrough guide and support playbook</t>
        </is>
      </c>
      <c r="H177" s="36" t="inlineStr">
        <is>
          <t>A non-technical reader can follow it</t>
        </is>
      </c>
      <c r="I177" s="36" t="inlineStr">
        <is>
          <t>No credentials or internal URLs in merchant-facing docs</t>
        </is>
      </c>
      <c r="J177" s="43" t="inlineStr">
        <is>
          <t>Not started</t>
        </is>
      </c>
      <c r="K177" s="43" t="n"/>
      <c r="L177" s="43" t="n"/>
      <c r="M177" s="44" t="inlineStr">
        <is>
          <t>D173</t>
        </is>
      </c>
      <c r="N177" s="44" t="inlineStr">
        <is>
          <t>D173</t>
        </is>
      </c>
      <c r="O177" s="24" t="inlineStr">
        <is>
          <t>1.5h</t>
        </is>
      </c>
    </row>
    <row r="178" ht="23.85" customHeight="1" s="25">
      <c r="A178" s="36" t="n">
        <v>174</v>
      </c>
      <c r="B178" s="38">
        <f>WORKDAY(Config!$B$5,ROUND((A178-1)*5/Config!$B$6,0))</f>
        <v/>
      </c>
      <c r="C178" s="36" t="n">
        <v>10</v>
      </c>
      <c r="D178" s="36" t="inlineStr">
        <is>
          <t>Pilot Readiness &amp; Launch</t>
        </is>
      </c>
      <c r="E178" s="36" t="inlineStr">
        <is>
          <t>Production</t>
        </is>
      </c>
      <c r="F178" s="37" t="inlineStr">
        <is>
          <t>Pilot merchant setup</t>
        </is>
      </c>
      <c r="G178" s="36" t="inlineStr">
        <is>
          <t>First merchant's catalog configured with them</t>
        </is>
      </c>
      <c r="H178" s="36" t="inlineStr">
        <is>
          <t>All three modes configured with real data</t>
        </is>
      </c>
      <c r="I178" s="36" t="inlineStr">
        <is>
          <t>Real customer data enters the system — retention jobs must be live</t>
        </is>
      </c>
      <c r="J178" s="43" t="inlineStr">
        <is>
          <t>Not started</t>
        </is>
      </c>
      <c r="K178" s="43" t="n"/>
      <c r="L178" s="43" t="n"/>
      <c r="M178" s="44" t="inlineStr">
        <is>
          <t>D174</t>
        </is>
      </c>
      <c r="N178" s="44" t="inlineStr">
        <is>
          <t>D174</t>
        </is>
      </c>
      <c r="O178" s="24" t="inlineStr">
        <is>
          <t>1.5h</t>
        </is>
      </c>
    </row>
    <row r="179" ht="15" customHeight="1" s="25">
      <c r="A179" s="36" t="n">
        <v>175</v>
      </c>
      <c r="B179" s="38">
        <f>WORKDAY(Config!$B$5,ROUND((A179-1)*5/Config!$B$6,0))</f>
        <v/>
      </c>
      <c r="C179" s="36" t="n">
        <v>10</v>
      </c>
      <c r="D179" s="36" t="inlineStr">
        <is>
          <t>Pilot Readiness &amp; Launch</t>
        </is>
      </c>
      <c r="E179" s="36" t="inlineStr">
        <is>
          <t>Production</t>
        </is>
      </c>
      <c r="F179" s="37" t="inlineStr">
        <is>
          <t>Soft launch</t>
        </is>
      </c>
      <c r="G179" s="36" t="inlineStr">
        <is>
          <t>First real transactions, founder-supported</t>
        </is>
      </c>
      <c r="H179" s="36" t="inlineStr">
        <is>
          <t>One real transaction in each mode</t>
        </is>
      </c>
      <c r="I179" s="36" t="inlineStr">
        <is>
          <t>Monitor audit log and deposit states closely</t>
        </is>
      </c>
      <c r="J179" s="43" t="inlineStr">
        <is>
          <t>Not started</t>
        </is>
      </c>
      <c r="K179" s="43" t="n"/>
      <c r="L179" s="43" t="n"/>
      <c r="M179" s="44" t="inlineStr">
        <is>
          <t>D175</t>
        </is>
      </c>
      <c r="N179" s="44" t="inlineStr">
        <is>
          <t>D175</t>
        </is>
      </c>
      <c r="O179" s="24" t="inlineStr">
        <is>
          <t>3.0h</t>
        </is>
      </c>
    </row>
    <row r="180" ht="23.85" customHeight="1" s="25">
      <c r="A180" s="45" t="n">
        <v>176</v>
      </c>
      <c r="B180" s="46">
        <f>WORKDAY(Config!$B$5,ROUND((A180-1)*5/Config!$B$6,0))</f>
        <v/>
      </c>
      <c r="C180" s="45" t="n">
        <v>10</v>
      </c>
      <c r="D180" s="45" t="inlineStr">
        <is>
          <t>Pilot Readiness &amp; Launch</t>
        </is>
      </c>
      <c r="E180" s="45" t="inlineStr">
        <is>
          <t>Production</t>
        </is>
      </c>
      <c r="F180" s="47" t="inlineStr">
        <is>
          <t>Post-launch review — GATE G10</t>
        </is>
      </c>
      <c r="G180" s="45" t="inlineStr">
        <is>
          <t>Review of the first live week</t>
        </is>
      </c>
      <c r="H180" s="45" t="inlineStr">
        <is>
          <t>G10 record filed; issues triaged into a backlog</t>
        </is>
      </c>
      <c r="I180" s="45" t="inlineStr">
        <is>
          <t>Confirm retention and audit jobs running in production</t>
        </is>
      </c>
      <c r="J180" s="43" t="inlineStr">
        <is>
          <t>Not started</t>
        </is>
      </c>
      <c r="K180" s="43" t="n"/>
      <c r="L180" s="43" t="n"/>
      <c r="M180" s="44" t="inlineStr">
        <is>
          <t>D176</t>
        </is>
      </c>
      <c r="N180" s="44" t="inlineStr">
        <is>
          <t>D176</t>
        </is>
      </c>
      <c r="O180" s="24" t="inlineStr">
        <is>
          <t>3.0h</t>
        </is>
      </c>
    </row>
  </sheetData>
  <dataValidations count="1">
    <dataValidation sqref="J5:J180" showDropDown="0" showInputMessage="0" showErrorMessage="0" allowBlank="1" type="list" errorStyle="stop" operator="between">
      <formula1>"Not started,In progress,Done,Carried,Blocked"</formula1>
      <formula2>0</formula2>
    </dataValidation>
  </dataValidations>
  <hyperlinks>
    <hyperlink xmlns:r="http://schemas.openxmlformats.org/officeDocument/2006/relationships" ref="M5" r:id="rId1"/>
    <hyperlink xmlns:r="http://schemas.openxmlformats.org/officeDocument/2006/relationships" ref="N5" r:id="rId2"/>
    <hyperlink xmlns:r="http://schemas.openxmlformats.org/officeDocument/2006/relationships" ref="M6" r:id="rId3"/>
    <hyperlink xmlns:r="http://schemas.openxmlformats.org/officeDocument/2006/relationships" ref="N6" r:id="rId4"/>
    <hyperlink xmlns:r="http://schemas.openxmlformats.org/officeDocument/2006/relationships" ref="M7" r:id="rId5"/>
    <hyperlink xmlns:r="http://schemas.openxmlformats.org/officeDocument/2006/relationships" ref="N7" r:id="rId6"/>
    <hyperlink xmlns:r="http://schemas.openxmlformats.org/officeDocument/2006/relationships" ref="M8" r:id="rId7"/>
    <hyperlink xmlns:r="http://schemas.openxmlformats.org/officeDocument/2006/relationships" ref="N8" r:id="rId8"/>
    <hyperlink xmlns:r="http://schemas.openxmlformats.org/officeDocument/2006/relationships" ref="M9" r:id="rId9"/>
    <hyperlink xmlns:r="http://schemas.openxmlformats.org/officeDocument/2006/relationships" ref="N9" r:id="rId10"/>
    <hyperlink xmlns:r="http://schemas.openxmlformats.org/officeDocument/2006/relationships" ref="M10" r:id="rId11"/>
    <hyperlink xmlns:r="http://schemas.openxmlformats.org/officeDocument/2006/relationships" ref="N10" r:id="rId12"/>
    <hyperlink xmlns:r="http://schemas.openxmlformats.org/officeDocument/2006/relationships" ref="M11" r:id="rId13"/>
    <hyperlink xmlns:r="http://schemas.openxmlformats.org/officeDocument/2006/relationships" ref="N11" r:id="rId14"/>
    <hyperlink xmlns:r="http://schemas.openxmlformats.org/officeDocument/2006/relationships" ref="M12" r:id="rId15"/>
    <hyperlink xmlns:r="http://schemas.openxmlformats.org/officeDocument/2006/relationships" ref="N12" r:id="rId16"/>
    <hyperlink xmlns:r="http://schemas.openxmlformats.org/officeDocument/2006/relationships" ref="M13" r:id="rId17"/>
    <hyperlink xmlns:r="http://schemas.openxmlformats.org/officeDocument/2006/relationships" ref="N13" r:id="rId18"/>
    <hyperlink xmlns:r="http://schemas.openxmlformats.org/officeDocument/2006/relationships" ref="M14" r:id="rId19"/>
    <hyperlink xmlns:r="http://schemas.openxmlformats.org/officeDocument/2006/relationships" ref="N14" r:id="rId20"/>
    <hyperlink xmlns:r="http://schemas.openxmlformats.org/officeDocument/2006/relationships" ref="M15" r:id="rId21"/>
    <hyperlink xmlns:r="http://schemas.openxmlformats.org/officeDocument/2006/relationships" ref="N15" r:id="rId22"/>
    <hyperlink xmlns:r="http://schemas.openxmlformats.org/officeDocument/2006/relationships" ref="M16" r:id="rId23"/>
    <hyperlink xmlns:r="http://schemas.openxmlformats.org/officeDocument/2006/relationships" ref="N16" r:id="rId24"/>
    <hyperlink xmlns:r="http://schemas.openxmlformats.org/officeDocument/2006/relationships" ref="M17" r:id="rId25"/>
    <hyperlink xmlns:r="http://schemas.openxmlformats.org/officeDocument/2006/relationships" ref="N17" r:id="rId26"/>
    <hyperlink xmlns:r="http://schemas.openxmlformats.org/officeDocument/2006/relationships" ref="M18" r:id="rId27"/>
    <hyperlink xmlns:r="http://schemas.openxmlformats.org/officeDocument/2006/relationships" ref="N18" r:id="rId28"/>
    <hyperlink xmlns:r="http://schemas.openxmlformats.org/officeDocument/2006/relationships" ref="M19" r:id="rId29"/>
    <hyperlink xmlns:r="http://schemas.openxmlformats.org/officeDocument/2006/relationships" ref="N19" r:id="rId30"/>
    <hyperlink xmlns:r="http://schemas.openxmlformats.org/officeDocument/2006/relationships" ref="M20" r:id="rId31"/>
    <hyperlink xmlns:r="http://schemas.openxmlformats.org/officeDocument/2006/relationships" ref="N20" r:id="rId32"/>
    <hyperlink xmlns:r="http://schemas.openxmlformats.org/officeDocument/2006/relationships" ref="M21" r:id="rId33"/>
    <hyperlink xmlns:r="http://schemas.openxmlformats.org/officeDocument/2006/relationships" ref="N21" r:id="rId34"/>
    <hyperlink xmlns:r="http://schemas.openxmlformats.org/officeDocument/2006/relationships" ref="M22" r:id="rId35"/>
    <hyperlink xmlns:r="http://schemas.openxmlformats.org/officeDocument/2006/relationships" ref="N22" r:id="rId36"/>
    <hyperlink xmlns:r="http://schemas.openxmlformats.org/officeDocument/2006/relationships" ref="M23" r:id="rId37"/>
    <hyperlink xmlns:r="http://schemas.openxmlformats.org/officeDocument/2006/relationships" ref="N23" r:id="rId38"/>
    <hyperlink xmlns:r="http://schemas.openxmlformats.org/officeDocument/2006/relationships" ref="M24" r:id="rId39"/>
    <hyperlink xmlns:r="http://schemas.openxmlformats.org/officeDocument/2006/relationships" ref="N24" r:id="rId40"/>
    <hyperlink xmlns:r="http://schemas.openxmlformats.org/officeDocument/2006/relationships" ref="M25" r:id="rId41"/>
    <hyperlink xmlns:r="http://schemas.openxmlformats.org/officeDocument/2006/relationships" ref="N25" r:id="rId42"/>
    <hyperlink xmlns:r="http://schemas.openxmlformats.org/officeDocument/2006/relationships" ref="M26" r:id="rId43"/>
    <hyperlink xmlns:r="http://schemas.openxmlformats.org/officeDocument/2006/relationships" ref="N26" r:id="rId44"/>
    <hyperlink xmlns:r="http://schemas.openxmlformats.org/officeDocument/2006/relationships" ref="M27" r:id="rId45"/>
    <hyperlink xmlns:r="http://schemas.openxmlformats.org/officeDocument/2006/relationships" ref="N27" r:id="rId46"/>
    <hyperlink xmlns:r="http://schemas.openxmlformats.org/officeDocument/2006/relationships" ref="M28" r:id="rId47"/>
    <hyperlink xmlns:r="http://schemas.openxmlformats.org/officeDocument/2006/relationships" ref="N28" r:id="rId48"/>
    <hyperlink xmlns:r="http://schemas.openxmlformats.org/officeDocument/2006/relationships" ref="M29" r:id="rId49"/>
    <hyperlink xmlns:r="http://schemas.openxmlformats.org/officeDocument/2006/relationships" ref="N29" r:id="rId50"/>
    <hyperlink xmlns:r="http://schemas.openxmlformats.org/officeDocument/2006/relationships" ref="M30" r:id="rId51"/>
    <hyperlink xmlns:r="http://schemas.openxmlformats.org/officeDocument/2006/relationships" ref="N30" r:id="rId52"/>
    <hyperlink xmlns:r="http://schemas.openxmlformats.org/officeDocument/2006/relationships" ref="M31" r:id="rId53"/>
    <hyperlink xmlns:r="http://schemas.openxmlformats.org/officeDocument/2006/relationships" ref="N31" r:id="rId54"/>
    <hyperlink xmlns:r="http://schemas.openxmlformats.org/officeDocument/2006/relationships" ref="M32" r:id="rId55"/>
    <hyperlink xmlns:r="http://schemas.openxmlformats.org/officeDocument/2006/relationships" ref="N32" r:id="rId56"/>
    <hyperlink xmlns:r="http://schemas.openxmlformats.org/officeDocument/2006/relationships" ref="M33" r:id="rId57"/>
    <hyperlink xmlns:r="http://schemas.openxmlformats.org/officeDocument/2006/relationships" ref="N33" r:id="rId58"/>
    <hyperlink xmlns:r="http://schemas.openxmlformats.org/officeDocument/2006/relationships" ref="M34" r:id="rId59"/>
    <hyperlink xmlns:r="http://schemas.openxmlformats.org/officeDocument/2006/relationships" ref="N34" r:id="rId60"/>
    <hyperlink xmlns:r="http://schemas.openxmlformats.org/officeDocument/2006/relationships" ref="M35" r:id="rId61"/>
    <hyperlink xmlns:r="http://schemas.openxmlformats.org/officeDocument/2006/relationships" ref="N35" r:id="rId62"/>
    <hyperlink xmlns:r="http://schemas.openxmlformats.org/officeDocument/2006/relationships" ref="M36" r:id="rId63"/>
    <hyperlink xmlns:r="http://schemas.openxmlformats.org/officeDocument/2006/relationships" ref="N36" r:id="rId64"/>
    <hyperlink xmlns:r="http://schemas.openxmlformats.org/officeDocument/2006/relationships" ref="M37" r:id="rId65"/>
    <hyperlink xmlns:r="http://schemas.openxmlformats.org/officeDocument/2006/relationships" ref="N37" r:id="rId66"/>
    <hyperlink xmlns:r="http://schemas.openxmlformats.org/officeDocument/2006/relationships" ref="M38" r:id="rId67"/>
    <hyperlink xmlns:r="http://schemas.openxmlformats.org/officeDocument/2006/relationships" ref="N38" r:id="rId68"/>
    <hyperlink xmlns:r="http://schemas.openxmlformats.org/officeDocument/2006/relationships" ref="M39" r:id="rId69"/>
    <hyperlink xmlns:r="http://schemas.openxmlformats.org/officeDocument/2006/relationships" ref="N39" r:id="rId70"/>
    <hyperlink xmlns:r="http://schemas.openxmlformats.org/officeDocument/2006/relationships" ref="M40" r:id="rId71"/>
    <hyperlink xmlns:r="http://schemas.openxmlformats.org/officeDocument/2006/relationships" ref="N40" r:id="rId72"/>
    <hyperlink xmlns:r="http://schemas.openxmlformats.org/officeDocument/2006/relationships" ref="M41" r:id="rId73"/>
    <hyperlink xmlns:r="http://schemas.openxmlformats.org/officeDocument/2006/relationships" ref="N41" r:id="rId74"/>
    <hyperlink xmlns:r="http://schemas.openxmlformats.org/officeDocument/2006/relationships" ref="M42" r:id="rId75"/>
    <hyperlink xmlns:r="http://schemas.openxmlformats.org/officeDocument/2006/relationships" ref="N42" r:id="rId76"/>
    <hyperlink xmlns:r="http://schemas.openxmlformats.org/officeDocument/2006/relationships" ref="M43" r:id="rId77"/>
    <hyperlink xmlns:r="http://schemas.openxmlformats.org/officeDocument/2006/relationships" ref="N43" r:id="rId78"/>
    <hyperlink xmlns:r="http://schemas.openxmlformats.org/officeDocument/2006/relationships" ref="M44" r:id="rId79"/>
    <hyperlink xmlns:r="http://schemas.openxmlformats.org/officeDocument/2006/relationships" ref="N44" r:id="rId80"/>
    <hyperlink xmlns:r="http://schemas.openxmlformats.org/officeDocument/2006/relationships" ref="M45" r:id="rId81"/>
    <hyperlink xmlns:r="http://schemas.openxmlformats.org/officeDocument/2006/relationships" ref="N45" r:id="rId82"/>
    <hyperlink xmlns:r="http://schemas.openxmlformats.org/officeDocument/2006/relationships" ref="M46" r:id="rId83"/>
    <hyperlink xmlns:r="http://schemas.openxmlformats.org/officeDocument/2006/relationships" ref="N46" r:id="rId84"/>
    <hyperlink xmlns:r="http://schemas.openxmlformats.org/officeDocument/2006/relationships" ref="M47" r:id="rId85"/>
    <hyperlink xmlns:r="http://schemas.openxmlformats.org/officeDocument/2006/relationships" ref="N47" r:id="rId86"/>
    <hyperlink xmlns:r="http://schemas.openxmlformats.org/officeDocument/2006/relationships" ref="M48" r:id="rId87"/>
    <hyperlink xmlns:r="http://schemas.openxmlformats.org/officeDocument/2006/relationships" ref="N48" r:id="rId88"/>
    <hyperlink xmlns:r="http://schemas.openxmlformats.org/officeDocument/2006/relationships" ref="M49" r:id="rId89"/>
    <hyperlink xmlns:r="http://schemas.openxmlformats.org/officeDocument/2006/relationships" ref="N49" r:id="rId90"/>
    <hyperlink xmlns:r="http://schemas.openxmlformats.org/officeDocument/2006/relationships" ref="M50" r:id="rId91"/>
    <hyperlink xmlns:r="http://schemas.openxmlformats.org/officeDocument/2006/relationships" ref="N50" r:id="rId92"/>
    <hyperlink xmlns:r="http://schemas.openxmlformats.org/officeDocument/2006/relationships" ref="M51" r:id="rId93"/>
    <hyperlink xmlns:r="http://schemas.openxmlformats.org/officeDocument/2006/relationships" ref="N51" r:id="rId94"/>
    <hyperlink xmlns:r="http://schemas.openxmlformats.org/officeDocument/2006/relationships" ref="M52" r:id="rId95"/>
    <hyperlink xmlns:r="http://schemas.openxmlformats.org/officeDocument/2006/relationships" ref="N52" r:id="rId96"/>
    <hyperlink xmlns:r="http://schemas.openxmlformats.org/officeDocument/2006/relationships" ref="M53" r:id="rId97"/>
    <hyperlink xmlns:r="http://schemas.openxmlformats.org/officeDocument/2006/relationships" ref="N53" r:id="rId98"/>
    <hyperlink xmlns:r="http://schemas.openxmlformats.org/officeDocument/2006/relationships" ref="M54" r:id="rId99"/>
    <hyperlink xmlns:r="http://schemas.openxmlformats.org/officeDocument/2006/relationships" ref="N54" r:id="rId100"/>
    <hyperlink xmlns:r="http://schemas.openxmlformats.org/officeDocument/2006/relationships" ref="M55" r:id="rId101"/>
    <hyperlink xmlns:r="http://schemas.openxmlformats.org/officeDocument/2006/relationships" ref="N55" r:id="rId102"/>
    <hyperlink xmlns:r="http://schemas.openxmlformats.org/officeDocument/2006/relationships" ref="M56" r:id="rId103"/>
    <hyperlink xmlns:r="http://schemas.openxmlformats.org/officeDocument/2006/relationships" ref="N56" r:id="rId104"/>
    <hyperlink xmlns:r="http://schemas.openxmlformats.org/officeDocument/2006/relationships" ref="M57" r:id="rId105"/>
    <hyperlink xmlns:r="http://schemas.openxmlformats.org/officeDocument/2006/relationships" ref="N57" r:id="rId106"/>
    <hyperlink xmlns:r="http://schemas.openxmlformats.org/officeDocument/2006/relationships" ref="M58" r:id="rId107"/>
    <hyperlink xmlns:r="http://schemas.openxmlformats.org/officeDocument/2006/relationships" ref="N58" r:id="rId108"/>
    <hyperlink xmlns:r="http://schemas.openxmlformats.org/officeDocument/2006/relationships" ref="M59" r:id="rId109"/>
    <hyperlink xmlns:r="http://schemas.openxmlformats.org/officeDocument/2006/relationships" ref="N59" r:id="rId110"/>
    <hyperlink xmlns:r="http://schemas.openxmlformats.org/officeDocument/2006/relationships" ref="M60" r:id="rId111"/>
    <hyperlink xmlns:r="http://schemas.openxmlformats.org/officeDocument/2006/relationships" ref="N60" r:id="rId112"/>
    <hyperlink xmlns:r="http://schemas.openxmlformats.org/officeDocument/2006/relationships" ref="M61" r:id="rId113"/>
    <hyperlink xmlns:r="http://schemas.openxmlformats.org/officeDocument/2006/relationships" ref="N61" r:id="rId114"/>
    <hyperlink xmlns:r="http://schemas.openxmlformats.org/officeDocument/2006/relationships" ref="M62" r:id="rId115"/>
    <hyperlink xmlns:r="http://schemas.openxmlformats.org/officeDocument/2006/relationships" ref="N62" r:id="rId116"/>
    <hyperlink xmlns:r="http://schemas.openxmlformats.org/officeDocument/2006/relationships" ref="M63" r:id="rId117"/>
    <hyperlink xmlns:r="http://schemas.openxmlformats.org/officeDocument/2006/relationships" ref="N63" r:id="rId118"/>
    <hyperlink xmlns:r="http://schemas.openxmlformats.org/officeDocument/2006/relationships" ref="M64" r:id="rId119"/>
    <hyperlink xmlns:r="http://schemas.openxmlformats.org/officeDocument/2006/relationships" ref="N64" r:id="rId120"/>
    <hyperlink xmlns:r="http://schemas.openxmlformats.org/officeDocument/2006/relationships" ref="M65" r:id="rId121"/>
    <hyperlink xmlns:r="http://schemas.openxmlformats.org/officeDocument/2006/relationships" ref="N65" r:id="rId122"/>
    <hyperlink xmlns:r="http://schemas.openxmlformats.org/officeDocument/2006/relationships" ref="M66" r:id="rId123"/>
    <hyperlink xmlns:r="http://schemas.openxmlformats.org/officeDocument/2006/relationships" ref="N66" r:id="rId124"/>
    <hyperlink xmlns:r="http://schemas.openxmlformats.org/officeDocument/2006/relationships" ref="M67" r:id="rId125"/>
    <hyperlink xmlns:r="http://schemas.openxmlformats.org/officeDocument/2006/relationships" ref="N67" r:id="rId126"/>
    <hyperlink xmlns:r="http://schemas.openxmlformats.org/officeDocument/2006/relationships" ref="M68" r:id="rId127"/>
    <hyperlink xmlns:r="http://schemas.openxmlformats.org/officeDocument/2006/relationships" ref="N68" r:id="rId128"/>
    <hyperlink xmlns:r="http://schemas.openxmlformats.org/officeDocument/2006/relationships" ref="M69" r:id="rId129"/>
    <hyperlink xmlns:r="http://schemas.openxmlformats.org/officeDocument/2006/relationships" ref="N69" r:id="rId130"/>
    <hyperlink xmlns:r="http://schemas.openxmlformats.org/officeDocument/2006/relationships" ref="M70" r:id="rId131"/>
    <hyperlink xmlns:r="http://schemas.openxmlformats.org/officeDocument/2006/relationships" ref="N70" r:id="rId132"/>
    <hyperlink xmlns:r="http://schemas.openxmlformats.org/officeDocument/2006/relationships" ref="M71" r:id="rId133"/>
    <hyperlink xmlns:r="http://schemas.openxmlformats.org/officeDocument/2006/relationships" ref="N71" r:id="rId134"/>
    <hyperlink xmlns:r="http://schemas.openxmlformats.org/officeDocument/2006/relationships" ref="M72" r:id="rId135"/>
    <hyperlink xmlns:r="http://schemas.openxmlformats.org/officeDocument/2006/relationships" ref="N72" r:id="rId136"/>
    <hyperlink xmlns:r="http://schemas.openxmlformats.org/officeDocument/2006/relationships" ref="M73" r:id="rId137"/>
    <hyperlink xmlns:r="http://schemas.openxmlformats.org/officeDocument/2006/relationships" ref="N73" r:id="rId138"/>
    <hyperlink xmlns:r="http://schemas.openxmlformats.org/officeDocument/2006/relationships" ref="M74" r:id="rId139"/>
    <hyperlink xmlns:r="http://schemas.openxmlformats.org/officeDocument/2006/relationships" ref="N74" r:id="rId140"/>
    <hyperlink xmlns:r="http://schemas.openxmlformats.org/officeDocument/2006/relationships" ref="M75" r:id="rId141"/>
    <hyperlink xmlns:r="http://schemas.openxmlformats.org/officeDocument/2006/relationships" ref="N75" r:id="rId142"/>
    <hyperlink xmlns:r="http://schemas.openxmlformats.org/officeDocument/2006/relationships" ref="M76" r:id="rId143"/>
    <hyperlink xmlns:r="http://schemas.openxmlformats.org/officeDocument/2006/relationships" ref="N76" r:id="rId144"/>
    <hyperlink xmlns:r="http://schemas.openxmlformats.org/officeDocument/2006/relationships" ref="M77" r:id="rId145"/>
    <hyperlink xmlns:r="http://schemas.openxmlformats.org/officeDocument/2006/relationships" ref="N77" r:id="rId146"/>
    <hyperlink xmlns:r="http://schemas.openxmlformats.org/officeDocument/2006/relationships" ref="M78" r:id="rId147"/>
    <hyperlink xmlns:r="http://schemas.openxmlformats.org/officeDocument/2006/relationships" ref="N78" r:id="rId148"/>
    <hyperlink xmlns:r="http://schemas.openxmlformats.org/officeDocument/2006/relationships" ref="M79" r:id="rId149"/>
    <hyperlink xmlns:r="http://schemas.openxmlformats.org/officeDocument/2006/relationships" ref="N79" r:id="rId150"/>
    <hyperlink xmlns:r="http://schemas.openxmlformats.org/officeDocument/2006/relationships" ref="M80" r:id="rId151"/>
    <hyperlink xmlns:r="http://schemas.openxmlformats.org/officeDocument/2006/relationships" ref="N80" r:id="rId152"/>
    <hyperlink xmlns:r="http://schemas.openxmlformats.org/officeDocument/2006/relationships" ref="M81" r:id="rId153"/>
    <hyperlink xmlns:r="http://schemas.openxmlformats.org/officeDocument/2006/relationships" ref="N81" r:id="rId154"/>
    <hyperlink xmlns:r="http://schemas.openxmlformats.org/officeDocument/2006/relationships" ref="M82" r:id="rId155"/>
    <hyperlink xmlns:r="http://schemas.openxmlformats.org/officeDocument/2006/relationships" ref="N82" r:id="rId156"/>
    <hyperlink xmlns:r="http://schemas.openxmlformats.org/officeDocument/2006/relationships" ref="M83" r:id="rId157"/>
    <hyperlink xmlns:r="http://schemas.openxmlformats.org/officeDocument/2006/relationships" ref="N83" r:id="rId158"/>
    <hyperlink xmlns:r="http://schemas.openxmlformats.org/officeDocument/2006/relationships" ref="M84" r:id="rId159"/>
    <hyperlink xmlns:r="http://schemas.openxmlformats.org/officeDocument/2006/relationships" ref="N84" r:id="rId160"/>
    <hyperlink xmlns:r="http://schemas.openxmlformats.org/officeDocument/2006/relationships" ref="M85" r:id="rId161"/>
    <hyperlink xmlns:r="http://schemas.openxmlformats.org/officeDocument/2006/relationships" ref="N85" r:id="rId162"/>
    <hyperlink xmlns:r="http://schemas.openxmlformats.org/officeDocument/2006/relationships" ref="M86" r:id="rId163"/>
    <hyperlink xmlns:r="http://schemas.openxmlformats.org/officeDocument/2006/relationships" ref="N86" r:id="rId164"/>
    <hyperlink xmlns:r="http://schemas.openxmlformats.org/officeDocument/2006/relationships" ref="M87" r:id="rId165"/>
    <hyperlink xmlns:r="http://schemas.openxmlformats.org/officeDocument/2006/relationships" ref="N87" r:id="rId166"/>
    <hyperlink xmlns:r="http://schemas.openxmlformats.org/officeDocument/2006/relationships" ref="M88" r:id="rId167"/>
    <hyperlink xmlns:r="http://schemas.openxmlformats.org/officeDocument/2006/relationships" ref="N88" r:id="rId168"/>
    <hyperlink xmlns:r="http://schemas.openxmlformats.org/officeDocument/2006/relationships" ref="M89" r:id="rId169"/>
    <hyperlink xmlns:r="http://schemas.openxmlformats.org/officeDocument/2006/relationships" ref="N89" r:id="rId170"/>
    <hyperlink xmlns:r="http://schemas.openxmlformats.org/officeDocument/2006/relationships" ref="M90" r:id="rId171"/>
    <hyperlink xmlns:r="http://schemas.openxmlformats.org/officeDocument/2006/relationships" ref="N90" r:id="rId172"/>
    <hyperlink xmlns:r="http://schemas.openxmlformats.org/officeDocument/2006/relationships" ref="M91" r:id="rId173"/>
    <hyperlink xmlns:r="http://schemas.openxmlformats.org/officeDocument/2006/relationships" ref="N91" r:id="rId174"/>
    <hyperlink xmlns:r="http://schemas.openxmlformats.org/officeDocument/2006/relationships" ref="M92" r:id="rId175"/>
    <hyperlink xmlns:r="http://schemas.openxmlformats.org/officeDocument/2006/relationships" ref="N92" r:id="rId176"/>
    <hyperlink xmlns:r="http://schemas.openxmlformats.org/officeDocument/2006/relationships" ref="M93" r:id="rId177"/>
    <hyperlink xmlns:r="http://schemas.openxmlformats.org/officeDocument/2006/relationships" ref="N93" r:id="rId178"/>
    <hyperlink xmlns:r="http://schemas.openxmlformats.org/officeDocument/2006/relationships" ref="M94" r:id="rId179"/>
    <hyperlink xmlns:r="http://schemas.openxmlformats.org/officeDocument/2006/relationships" ref="N94" r:id="rId180"/>
    <hyperlink xmlns:r="http://schemas.openxmlformats.org/officeDocument/2006/relationships" ref="M95" r:id="rId181"/>
    <hyperlink xmlns:r="http://schemas.openxmlformats.org/officeDocument/2006/relationships" ref="N95" r:id="rId182"/>
    <hyperlink xmlns:r="http://schemas.openxmlformats.org/officeDocument/2006/relationships" ref="M96" r:id="rId183"/>
    <hyperlink xmlns:r="http://schemas.openxmlformats.org/officeDocument/2006/relationships" ref="N96" r:id="rId184"/>
    <hyperlink xmlns:r="http://schemas.openxmlformats.org/officeDocument/2006/relationships" ref="M97" r:id="rId185"/>
    <hyperlink xmlns:r="http://schemas.openxmlformats.org/officeDocument/2006/relationships" ref="N97" r:id="rId186"/>
    <hyperlink xmlns:r="http://schemas.openxmlformats.org/officeDocument/2006/relationships" ref="M98" r:id="rId187"/>
    <hyperlink xmlns:r="http://schemas.openxmlformats.org/officeDocument/2006/relationships" ref="N98" r:id="rId188"/>
    <hyperlink xmlns:r="http://schemas.openxmlformats.org/officeDocument/2006/relationships" ref="M99" r:id="rId189"/>
    <hyperlink xmlns:r="http://schemas.openxmlformats.org/officeDocument/2006/relationships" ref="N99" r:id="rId190"/>
    <hyperlink xmlns:r="http://schemas.openxmlformats.org/officeDocument/2006/relationships" ref="M100" r:id="rId191"/>
    <hyperlink xmlns:r="http://schemas.openxmlformats.org/officeDocument/2006/relationships" ref="N100" r:id="rId192"/>
    <hyperlink xmlns:r="http://schemas.openxmlformats.org/officeDocument/2006/relationships" ref="M101" r:id="rId193"/>
    <hyperlink xmlns:r="http://schemas.openxmlformats.org/officeDocument/2006/relationships" ref="N101" r:id="rId194"/>
    <hyperlink xmlns:r="http://schemas.openxmlformats.org/officeDocument/2006/relationships" ref="M102" r:id="rId195"/>
    <hyperlink xmlns:r="http://schemas.openxmlformats.org/officeDocument/2006/relationships" ref="N102" r:id="rId196"/>
    <hyperlink xmlns:r="http://schemas.openxmlformats.org/officeDocument/2006/relationships" ref="M103" r:id="rId197"/>
    <hyperlink xmlns:r="http://schemas.openxmlformats.org/officeDocument/2006/relationships" ref="N103" r:id="rId198"/>
    <hyperlink xmlns:r="http://schemas.openxmlformats.org/officeDocument/2006/relationships" ref="M104" r:id="rId199"/>
    <hyperlink xmlns:r="http://schemas.openxmlformats.org/officeDocument/2006/relationships" ref="N104" r:id="rId200"/>
    <hyperlink xmlns:r="http://schemas.openxmlformats.org/officeDocument/2006/relationships" ref="M105" r:id="rId201"/>
    <hyperlink xmlns:r="http://schemas.openxmlformats.org/officeDocument/2006/relationships" ref="N105" r:id="rId202"/>
    <hyperlink xmlns:r="http://schemas.openxmlformats.org/officeDocument/2006/relationships" ref="M106" r:id="rId203"/>
    <hyperlink xmlns:r="http://schemas.openxmlformats.org/officeDocument/2006/relationships" ref="N106" r:id="rId204"/>
    <hyperlink xmlns:r="http://schemas.openxmlformats.org/officeDocument/2006/relationships" ref="M107" r:id="rId205"/>
    <hyperlink xmlns:r="http://schemas.openxmlformats.org/officeDocument/2006/relationships" ref="N107" r:id="rId206"/>
    <hyperlink xmlns:r="http://schemas.openxmlformats.org/officeDocument/2006/relationships" ref="M108" r:id="rId207"/>
    <hyperlink xmlns:r="http://schemas.openxmlformats.org/officeDocument/2006/relationships" ref="N108" r:id="rId208"/>
    <hyperlink xmlns:r="http://schemas.openxmlformats.org/officeDocument/2006/relationships" ref="M109" r:id="rId209"/>
    <hyperlink xmlns:r="http://schemas.openxmlformats.org/officeDocument/2006/relationships" ref="N109" r:id="rId210"/>
    <hyperlink xmlns:r="http://schemas.openxmlformats.org/officeDocument/2006/relationships" ref="M110" r:id="rId211"/>
    <hyperlink xmlns:r="http://schemas.openxmlformats.org/officeDocument/2006/relationships" ref="N110" r:id="rId212"/>
    <hyperlink xmlns:r="http://schemas.openxmlformats.org/officeDocument/2006/relationships" ref="M111" r:id="rId213"/>
    <hyperlink xmlns:r="http://schemas.openxmlformats.org/officeDocument/2006/relationships" ref="N111" r:id="rId214"/>
    <hyperlink xmlns:r="http://schemas.openxmlformats.org/officeDocument/2006/relationships" ref="M112" r:id="rId215"/>
    <hyperlink xmlns:r="http://schemas.openxmlformats.org/officeDocument/2006/relationships" ref="N112" r:id="rId216"/>
    <hyperlink xmlns:r="http://schemas.openxmlformats.org/officeDocument/2006/relationships" ref="M113" r:id="rId217"/>
    <hyperlink xmlns:r="http://schemas.openxmlformats.org/officeDocument/2006/relationships" ref="N113" r:id="rId218"/>
    <hyperlink xmlns:r="http://schemas.openxmlformats.org/officeDocument/2006/relationships" ref="M114" r:id="rId219"/>
    <hyperlink xmlns:r="http://schemas.openxmlformats.org/officeDocument/2006/relationships" ref="N114" r:id="rId220"/>
    <hyperlink xmlns:r="http://schemas.openxmlformats.org/officeDocument/2006/relationships" ref="M115" r:id="rId221"/>
    <hyperlink xmlns:r="http://schemas.openxmlformats.org/officeDocument/2006/relationships" ref="N115" r:id="rId222"/>
    <hyperlink xmlns:r="http://schemas.openxmlformats.org/officeDocument/2006/relationships" ref="M116" r:id="rId223"/>
    <hyperlink xmlns:r="http://schemas.openxmlformats.org/officeDocument/2006/relationships" ref="N116" r:id="rId224"/>
    <hyperlink xmlns:r="http://schemas.openxmlformats.org/officeDocument/2006/relationships" ref="M117" r:id="rId225"/>
    <hyperlink xmlns:r="http://schemas.openxmlformats.org/officeDocument/2006/relationships" ref="N117" r:id="rId226"/>
    <hyperlink xmlns:r="http://schemas.openxmlformats.org/officeDocument/2006/relationships" ref="M118" r:id="rId227"/>
    <hyperlink xmlns:r="http://schemas.openxmlformats.org/officeDocument/2006/relationships" ref="N118" r:id="rId228"/>
    <hyperlink xmlns:r="http://schemas.openxmlformats.org/officeDocument/2006/relationships" ref="M119" r:id="rId229"/>
    <hyperlink xmlns:r="http://schemas.openxmlformats.org/officeDocument/2006/relationships" ref="N119" r:id="rId230"/>
    <hyperlink xmlns:r="http://schemas.openxmlformats.org/officeDocument/2006/relationships" ref="M120" r:id="rId231"/>
    <hyperlink xmlns:r="http://schemas.openxmlformats.org/officeDocument/2006/relationships" ref="N120" r:id="rId232"/>
    <hyperlink xmlns:r="http://schemas.openxmlformats.org/officeDocument/2006/relationships" ref="M121" r:id="rId233"/>
    <hyperlink xmlns:r="http://schemas.openxmlformats.org/officeDocument/2006/relationships" ref="N121" r:id="rId234"/>
    <hyperlink xmlns:r="http://schemas.openxmlformats.org/officeDocument/2006/relationships" ref="M122" r:id="rId235"/>
    <hyperlink xmlns:r="http://schemas.openxmlformats.org/officeDocument/2006/relationships" ref="N122" r:id="rId236"/>
    <hyperlink xmlns:r="http://schemas.openxmlformats.org/officeDocument/2006/relationships" ref="M123" r:id="rId237"/>
    <hyperlink xmlns:r="http://schemas.openxmlformats.org/officeDocument/2006/relationships" ref="N123" r:id="rId238"/>
    <hyperlink xmlns:r="http://schemas.openxmlformats.org/officeDocument/2006/relationships" ref="M124" r:id="rId239"/>
    <hyperlink xmlns:r="http://schemas.openxmlformats.org/officeDocument/2006/relationships" ref="N124" r:id="rId240"/>
    <hyperlink xmlns:r="http://schemas.openxmlformats.org/officeDocument/2006/relationships" ref="M125" r:id="rId241"/>
    <hyperlink xmlns:r="http://schemas.openxmlformats.org/officeDocument/2006/relationships" ref="N125" r:id="rId242"/>
    <hyperlink xmlns:r="http://schemas.openxmlformats.org/officeDocument/2006/relationships" ref="M126" r:id="rId243"/>
    <hyperlink xmlns:r="http://schemas.openxmlformats.org/officeDocument/2006/relationships" ref="N126" r:id="rId244"/>
    <hyperlink xmlns:r="http://schemas.openxmlformats.org/officeDocument/2006/relationships" ref="M127" r:id="rId245"/>
    <hyperlink xmlns:r="http://schemas.openxmlformats.org/officeDocument/2006/relationships" ref="N127" r:id="rId246"/>
    <hyperlink xmlns:r="http://schemas.openxmlformats.org/officeDocument/2006/relationships" ref="M128" r:id="rId247"/>
    <hyperlink xmlns:r="http://schemas.openxmlformats.org/officeDocument/2006/relationships" ref="N128" r:id="rId248"/>
    <hyperlink xmlns:r="http://schemas.openxmlformats.org/officeDocument/2006/relationships" ref="M129" r:id="rId249"/>
    <hyperlink xmlns:r="http://schemas.openxmlformats.org/officeDocument/2006/relationships" ref="N129" r:id="rId250"/>
    <hyperlink xmlns:r="http://schemas.openxmlformats.org/officeDocument/2006/relationships" ref="M130" r:id="rId251"/>
    <hyperlink xmlns:r="http://schemas.openxmlformats.org/officeDocument/2006/relationships" ref="N130" r:id="rId252"/>
    <hyperlink xmlns:r="http://schemas.openxmlformats.org/officeDocument/2006/relationships" ref="M131" r:id="rId253"/>
    <hyperlink xmlns:r="http://schemas.openxmlformats.org/officeDocument/2006/relationships" ref="N131" r:id="rId254"/>
    <hyperlink xmlns:r="http://schemas.openxmlformats.org/officeDocument/2006/relationships" ref="M132" r:id="rId255"/>
    <hyperlink xmlns:r="http://schemas.openxmlformats.org/officeDocument/2006/relationships" ref="N132" r:id="rId256"/>
    <hyperlink xmlns:r="http://schemas.openxmlformats.org/officeDocument/2006/relationships" ref="M133" r:id="rId257"/>
    <hyperlink xmlns:r="http://schemas.openxmlformats.org/officeDocument/2006/relationships" ref="N133" r:id="rId258"/>
    <hyperlink xmlns:r="http://schemas.openxmlformats.org/officeDocument/2006/relationships" ref="M134" r:id="rId259"/>
    <hyperlink xmlns:r="http://schemas.openxmlformats.org/officeDocument/2006/relationships" ref="N134" r:id="rId260"/>
    <hyperlink xmlns:r="http://schemas.openxmlformats.org/officeDocument/2006/relationships" ref="M135" r:id="rId261"/>
    <hyperlink xmlns:r="http://schemas.openxmlformats.org/officeDocument/2006/relationships" ref="N135" r:id="rId262"/>
    <hyperlink xmlns:r="http://schemas.openxmlformats.org/officeDocument/2006/relationships" ref="M136" r:id="rId263"/>
    <hyperlink xmlns:r="http://schemas.openxmlformats.org/officeDocument/2006/relationships" ref="N136" r:id="rId264"/>
    <hyperlink xmlns:r="http://schemas.openxmlformats.org/officeDocument/2006/relationships" ref="M137" r:id="rId265"/>
    <hyperlink xmlns:r="http://schemas.openxmlformats.org/officeDocument/2006/relationships" ref="N137" r:id="rId266"/>
    <hyperlink xmlns:r="http://schemas.openxmlformats.org/officeDocument/2006/relationships" ref="M138" r:id="rId267"/>
    <hyperlink xmlns:r="http://schemas.openxmlformats.org/officeDocument/2006/relationships" ref="N138" r:id="rId268"/>
    <hyperlink xmlns:r="http://schemas.openxmlformats.org/officeDocument/2006/relationships" ref="M139" r:id="rId269"/>
    <hyperlink xmlns:r="http://schemas.openxmlformats.org/officeDocument/2006/relationships" ref="N139" r:id="rId270"/>
    <hyperlink xmlns:r="http://schemas.openxmlformats.org/officeDocument/2006/relationships" ref="M140" r:id="rId271"/>
    <hyperlink xmlns:r="http://schemas.openxmlformats.org/officeDocument/2006/relationships" ref="N140" r:id="rId272"/>
    <hyperlink xmlns:r="http://schemas.openxmlformats.org/officeDocument/2006/relationships" ref="M141" r:id="rId273"/>
    <hyperlink xmlns:r="http://schemas.openxmlformats.org/officeDocument/2006/relationships" ref="N141" r:id="rId274"/>
    <hyperlink xmlns:r="http://schemas.openxmlformats.org/officeDocument/2006/relationships" ref="M142" r:id="rId275"/>
    <hyperlink xmlns:r="http://schemas.openxmlformats.org/officeDocument/2006/relationships" ref="N142" r:id="rId276"/>
    <hyperlink xmlns:r="http://schemas.openxmlformats.org/officeDocument/2006/relationships" ref="M143" r:id="rId277"/>
    <hyperlink xmlns:r="http://schemas.openxmlformats.org/officeDocument/2006/relationships" ref="N143" r:id="rId278"/>
    <hyperlink xmlns:r="http://schemas.openxmlformats.org/officeDocument/2006/relationships" ref="M144" r:id="rId279"/>
    <hyperlink xmlns:r="http://schemas.openxmlformats.org/officeDocument/2006/relationships" ref="N144" r:id="rId280"/>
    <hyperlink xmlns:r="http://schemas.openxmlformats.org/officeDocument/2006/relationships" ref="M145" r:id="rId281"/>
    <hyperlink xmlns:r="http://schemas.openxmlformats.org/officeDocument/2006/relationships" ref="N145" r:id="rId282"/>
    <hyperlink xmlns:r="http://schemas.openxmlformats.org/officeDocument/2006/relationships" ref="M146" r:id="rId283"/>
    <hyperlink xmlns:r="http://schemas.openxmlformats.org/officeDocument/2006/relationships" ref="N146" r:id="rId284"/>
    <hyperlink xmlns:r="http://schemas.openxmlformats.org/officeDocument/2006/relationships" ref="M147" r:id="rId285"/>
    <hyperlink xmlns:r="http://schemas.openxmlformats.org/officeDocument/2006/relationships" ref="N147" r:id="rId286"/>
    <hyperlink xmlns:r="http://schemas.openxmlformats.org/officeDocument/2006/relationships" ref="M148" r:id="rId287"/>
    <hyperlink xmlns:r="http://schemas.openxmlformats.org/officeDocument/2006/relationships" ref="N148" r:id="rId288"/>
    <hyperlink xmlns:r="http://schemas.openxmlformats.org/officeDocument/2006/relationships" ref="M149" r:id="rId289"/>
    <hyperlink xmlns:r="http://schemas.openxmlformats.org/officeDocument/2006/relationships" ref="N149" r:id="rId290"/>
    <hyperlink xmlns:r="http://schemas.openxmlformats.org/officeDocument/2006/relationships" ref="M150" r:id="rId291"/>
    <hyperlink xmlns:r="http://schemas.openxmlformats.org/officeDocument/2006/relationships" ref="N150" r:id="rId292"/>
    <hyperlink xmlns:r="http://schemas.openxmlformats.org/officeDocument/2006/relationships" ref="M151" r:id="rId293"/>
    <hyperlink xmlns:r="http://schemas.openxmlformats.org/officeDocument/2006/relationships" ref="N151" r:id="rId294"/>
    <hyperlink xmlns:r="http://schemas.openxmlformats.org/officeDocument/2006/relationships" ref="M152" r:id="rId295"/>
    <hyperlink xmlns:r="http://schemas.openxmlformats.org/officeDocument/2006/relationships" ref="N152" r:id="rId296"/>
    <hyperlink xmlns:r="http://schemas.openxmlformats.org/officeDocument/2006/relationships" ref="M153" r:id="rId297"/>
    <hyperlink xmlns:r="http://schemas.openxmlformats.org/officeDocument/2006/relationships" ref="N153" r:id="rId298"/>
    <hyperlink xmlns:r="http://schemas.openxmlformats.org/officeDocument/2006/relationships" ref="M154" r:id="rId299"/>
    <hyperlink xmlns:r="http://schemas.openxmlformats.org/officeDocument/2006/relationships" ref="N154" r:id="rId300"/>
    <hyperlink xmlns:r="http://schemas.openxmlformats.org/officeDocument/2006/relationships" ref="M155" r:id="rId301"/>
    <hyperlink xmlns:r="http://schemas.openxmlformats.org/officeDocument/2006/relationships" ref="N155" r:id="rId302"/>
    <hyperlink xmlns:r="http://schemas.openxmlformats.org/officeDocument/2006/relationships" ref="M156" r:id="rId303"/>
    <hyperlink xmlns:r="http://schemas.openxmlformats.org/officeDocument/2006/relationships" ref="N156" r:id="rId304"/>
    <hyperlink xmlns:r="http://schemas.openxmlformats.org/officeDocument/2006/relationships" ref="M157" r:id="rId305"/>
    <hyperlink xmlns:r="http://schemas.openxmlformats.org/officeDocument/2006/relationships" ref="N157" r:id="rId306"/>
    <hyperlink xmlns:r="http://schemas.openxmlformats.org/officeDocument/2006/relationships" ref="M158" r:id="rId307"/>
    <hyperlink xmlns:r="http://schemas.openxmlformats.org/officeDocument/2006/relationships" ref="N158" r:id="rId308"/>
    <hyperlink xmlns:r="http://schemas.openxmlformats.org/officeDocument/2006/relationships" ref="M159" r:id="rId309"/>
    <hyperlink xmlns:r="http://schemas.openxmlformats.org/officeDocument/2006/relationships" ref="N159" r:id="rId310"/>
    <hyperlink xmlns:r="http://schemas.openxmlformats.org/officeDocument/2006/relationships" ref="M160" r:id="rId311"/>
    <hyperlink xmlns:r="http://schemas.openxmlformats.org/officeDocument/2006/relationships" ref="N160" r:id="rId312"/>
    <hyperlink xmlns:r="http://schemas.openxmlformats.org/officeDocument/2006/relationships" ref="M161" r:id="rId313"/>
    <hyperlink xmlns:r="http://schemas.openxmlformats.org/officeDocument/2006/relationships" ref="N161" r:id="rId314"/>
    <hyperlink xmlns:r="http://schemas.openxmlformats.org/officeDocument/2006/relationships" ref="M162" r:id="rId315"/>
    <hyperlink xmlns:r="http://schemas.openxmlformats.org/officeDocument/2006/relationships" ref="N162" r:id="rId316"/>
    <hyperlink xmlns:r="http://schemas.openxmlformats.org/officeDocument/2006/relationships" ref="M163" r:id="rId317"/>
    <hyperlink xmlns:r="http://schemas.openxmlformats.org/officeDocument/2006/relationships" ref="N163" r:id="rId318"/>
    <hyperlink xmlns:r="http://schemas.openxmlformats.org/officeDocument/2006/relationships" ref="M164" r:id="rId319"/>
    <hyperlink xmlns:r="http://schemas.openxmlformats.org/officeDocument/2006/relationships" ref="N164" r:id="rId320"/>
    <hyperlink xmlns:r="http://schemas.openxmlformats.org/officeDocument/2006/relationships" ref="M165" r:id="rId321"/>
    <hyperlink xmlns:r="http://schemas.openxmlformats.org/officeDocument/2006/relationships" ref="N165" r:id="rId322"/>
    <hyperlink xmlns:r="http://schemas.openxmlformats.org/officeDocument/2006/relationships" ref="M166" r:id="rId323"/>
    <hyperlink xmlns:r="http://schemas.openxmlformats.org/officeDocument/2006/relationships" ref="N166" r:id="rId324"/>
    <hyperlink xmlns:r="http://schemas.openxmlformats.org/officeDocument/2006/relationships" ref="M167" r:id="rId325"/>
    <hyperlink xmlns:r="http://schemas.openxmlformats.org/officeDocument/2006/relationships" ref="N167" r:id="rId326"/>
    <hyperlink xmlns:r="http://schemas.openxmlformats.org/officeDocument/2006/relationships" ref="M168" r:id="rId327"/>
    <hyperlink xmlns:r="http://schemas.openxmlformats.org/officeDocument/2006/relationships" ref="N168" r:id="rId328"/>
    <hyperlink xmlns:r="http://schemas.openxmlformats.org/officeDocument/2006/relationships" ref="M169" r:id="rId329"/>
    <hyperlink xmlns:r="http://schemas.openxmlformats.org/officeDocument/2006/relationships" ref="N169" r:id="rId330"/>
    <hyperlink xmlns:r="http://schemas.openxmlformats.org/officeDocument/2006/relationships" ref="M170" r:id="rId331"/>
    <hyperlink xmlns:r="http://schemas.openxmlformats.org/officeDocument/2006/relationships" ref="N170" r:id="rId332"/>
    <hyperlink xmlns:r="http://schemas.openxmlformats.org/officeDocument/2006/relationships" ref="M171" r:id="rId333"/>
    <hyperlink xmlns:r="http://schemas.openxmlformats.org/officeDocument/2006/relationships" ref="N171" r:id="rId334"/>
    <hyperlink xmlns:r="http://schemas.openxmlformats.org/officeDocument/2006/relationships" ref="M172" r:id="rId335"/>
    <hyperlink xmlns:r="http://schemas.openxmlformats.org/officeDocument/2006/relationships" ref="N172" r:id="rId336"/>
    <hyperlink xmlns:r="http://schemas.openxmlformats.org/officeDocument/2006/relationships" ref="M173" r:id="rId337"/>
    <hyperlink xmlns:r="http://schemas.openxmlformats.org/officeDocument/2006/relationships" ref="N173" r:id="rId338"/>
    <hyperlink xmlns:r="http://schemas.openxmlformats.org/officeDocument/2006/relationships" ref="M174" r:id="rId339"/>
    <hyperlink xmlns:r="http://schemas.openxmlformats.org/officeDocument/2006/relationships" ref="N174" r:id="rId340"/>
    <hyperlink xmlns:r="http://schemas.openxmlformats.org/officeDocument/2006/relationships" ref="M175" r:id="rId341"/>
    <hyperlink xmlns:r="http://schemas.openxmlformats.org/officeDocument/2006/relationships" ref="N175" r:id="rId342"/>
    <hyperlink xmlns:r="http://schemas.openxmlformats.org/officeDocument/2006/relationships" ref="M176" r:id="rId343"/>
    <hyperlink xmlns:r="http://schemas.openxmlformats.org/officeDocument/2006/relationships" ref="N176" r:id="rId344"/>
    <hyperlink xmlns:r="http://schemas.openxmlformats.org/officeDocument/2006/relationships" ref="M177" r:id="rId345"/>
    <hyperlink xmlns:r="http://schemas.openxmlformats.org/officeDocument/2006/relationships" ref="N177" r:id="rId346"/>
    <hyperlink xmlns:r="http://schemas.openxmlformats.org/officeDocument/2006/relationships" ref="M178" r:id="rId347"/>
    <hyperlink xmlns:r="http://schemas.openxmlformats.org/officeDocument/2006/relationships" ref="N178" r:id="rId348"/>
    <hyperlink xmlns:r="http://schemas.openxmlformats.org/officeDocument/2006/relationships" ref="M179" r:id="rId349"/>
    <hyperlink xmlns:r="http://schemas.openxmlformats.org/officeDocument/2006/relationships" ref="N179" r:id="rId350"/>
    <hyperlink xmlns:r="http://schemas.openxmlformats.org/officeDocument/2006/relationships" ref="M180" r:id="rId351"/>
    <hyperlink xmlns:r="http://schemas.openxmlformats.org/officeDocument/2006/relationships" ref="N180" r:id="rId35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12" customWidth="1" style="24" min="2" max="2"/>
    <col width="10" customWidth="1" style="24" min="3" max="3"/>
    <col width="9" customWidth="1" style="24" min="4" max="4"/>
    <col width="7" customWidth="1" style="24" min="5" max="5"/>
    <col width="8" customWidth="1" style="24" min="6" max="7"/>
    <col width="9" customWidth="1" style="24" min="8" max="8"/>
    <col width="13" customWidth="1" style="24" min="9" max="9"/>
    <col width="12" customWidth="1" style="24" min="10" max="10"/>
    <col width="13" customWidth="1" style="24" min="11" max="11"/>
    <col width="12" customWidth="1" style="24" min="12" max="12"/>
    <col width="13" customWidth="1" style="24" min="13" max="14"/>
    <col width="7" customWidth="1" style="24" min="15" max="15"/>
    <col width="17" customWidth="1" style="24" min="16" max="16"/>
    <col width="14" customWidth="1" style="24" min="17" max="17"/>
    <col width="13" customWidth="1" style="24" min="18" max="18"/>
    <col width="30" customWidth="1" style="24" min="19" max="19"/>
    <col width="34" customWidth="1" style="24" min="20" max="20"/>
  </cols>
  <sheetData>
    <row r="1" ht="17.35" customHeight="1" s="25">
      <c r="A1" s="26" t="inlineStr">
        <is>
          <t>Weekly Review Log</t>
        </is>
      </c>
    </row>
    <row r="2" ht="15" customHeight="1" s="25">
      <c r="A2" s="27" t="inlineStr">
        <is>
          <t>60 minutes, same day each week. Record the uncomfortable items — carried cards, skipped tests, slipping dates. Restate the projected end date each week from the actual completion rate, not from the original plan.</t>
        </is>
      </c>
    </row>
    <row r="4" ht="42" customHeight="1" s="25">
      <c r="A4" s="35" t="inlineStr">
        <is>
          <t>Wk</t>
        </is>
      </c>
      <c r="B4" s="35" t="inlineStr">
        <is>
          <t>Week of</t>
        </is>
      </c>
      <c r="C4" s="35" t="inlineStr">
        <is>
          <t>Phase</t>
        </is>
      </c>
      <c r="D4" s="35" t="inlineStr">
        <is>
          <t>Planned</t>
        </is>
      </c>
      <c r="E4" s="35" t="inlineStr">
        <is>
          <t>Done</t>
        </is>
      </c>
      <c r="F4" s="35" t="inlineStr">
        <is>
          <t>Carried</t>
        </is>
      </c>
      <c r="G4" s="35" t="inlineStr">
        <is>
          <t>Blocked</t>
        </is>
      </c>
      <c r="H4" s="35" t="inlineStr">
        <is>
          <t>Rate %</t>
        </is>
      </c>
      <c r="I4" s="35" t="inlineStr">
        <is>
          <t>4-wk rolling %</t>
        </is>
      </c>
      <c r="J4" s="35" t="inlineStr">
        <is>
          <t>Gate status</t>
        </is>
      </c>
      <c r="K4" s="35" t="inlineStr">
        <is>
          <t>New crit/high</t>
        </is>
      </c>
      <c r="L4" s="35" t="inlineStr">
        <is>
          <t>Remediated</t>
        </is>
      </c>
      <c r="M4" s="35" t="inlineStr">
        <is>
          <t>Tests skipped</t>
        </is>
      </c>
      <c r="N4" s="35" t="inlineStr">
        <is>
          <t>Domain cov %</t>
        </is>
      </c>
      <c r="O4" s="35" t="inlineStr">
        <is>
          <t>ADRs</t>
        </is>
      </c>
      <c r="P4" s="35" t="inlineStr">
        <is>
          <t>Scope change (days)</t>
        </is>
      </c>
      <c r="Q4" s="35" t="inlineStr">
        <is>
          <t>Risks changed</t>
        </is>
      </c>
      <c r="R4" s="35" t="inlineStr">
        <is>
          <t>Projected end</t>
        </is>
      </c>
      <c r="S4" s="35" t="inlineStr">
        <is>
          <t>Top blocker next week</t>
        </is>
      </c>
      <c r="T4" s="35" t="inlineStr">
        <is>
          <t>Notes</t>
        </is>
      </c>
    </row>
    <row r="5" ht="15" customHeight="1" s="25">
      <c r="A5" s="36" t="n">
        <v>1</v>
      </c>
      <c r="B5" s="38">
        <f>Config!$B$5+(1-1)*7</f>
        <v/>
      </c>
      <c r="C5" s="43" t="n"/>
      <c r="D5" s="43" t="n"/>
      <c r="E5" s="43" t="n"/>
      <c r="F5" s="43" t="n"/>
      <c r="G5" s="43" t="n"/>
      <c r="H5" s="48">
        <f>IFERROR(E5/D5,"")</f>
        <v/>
      </c>
      <c r="I5" s="48">
        <f>IFERROR(SUM($E$5:E5)/SUM($D$5:D5),"")</f>
        <v/>
      </c>
      <c r="J5" s="43" t="n"/>
      <c r="K5" s="43" t="n"/>
      <c r="L5" s="43" t="n"/>
      <c r="M5" s="43" t="n"/>
      <c r="N5" s="43" t="n"/>
      <c r="O5" s="43" t="n"/>
      <c r="P5" s="43" t="n"/>
      <c r="Q5" s="43" t="n"/>
      <c r="R5" s="49" t="n"/>
      <c r="S5" s="43" t="n"/>
      <c r="T5" s="43" t="n"/>
    </row>
    <row r="6" ht="15" customHeight="1" s="25">
      <c r="A6" s="36" t="n">
        <v>2</v>
      </c>
      <c r="B6" s="38">
        <f>Config!$B$5+(2-1)*7</f>
        <v/>
      </c>
      <c r="C6" s="43" t="n"/>
      <c r="D6" s="43" t="n"/>
      <c r="E6" s="43" t="n"/>
      <c r="F6" s="43" t="n"/>
      <c r="G6" s="43" t="n"/>
      <c r="H6" s="48">
        <f>IFERROR(E6/D6,"")</f>
        <v/>
      </c>
      <c r="I6" s="48">
        <f>IFERROR(SUM($E$5:E6)/SUM($D$5:D6),"")</f>
        <v/>
      </c>
      <c r="J6" s="43" t="n"/>
      <c r="K6" s="43" t="n"/>
      <c r="L6" s="43" t="n"/>
      <c r="M6" s="43" t="n"/>
      <c r="N6" s="43" t="n"/>
      <c r="O6" s="43" t="n"/>
      <c r="P6" s="43" t="n"/>
      <c r="Q6" s="43" t="n"/>
      <c r="R6" s="49" t="n"/>
      <c r="S6" s="43" t="n"/>
      <c r="T6" s="43" t="n"/>
    </row>
    <row r="7" ht="15" customHeight="1" s="25">
      <c r="A7" s="36" t="n">
        <v>3</v>
      </c>
      <c r="B7" s="38">
        <f>Config!$B$5+(3-1)*7</f>
        <v/>
      </c>
      <c r="C7" s="43" t="n"/>
      <c r="D7" s="43" t="n"/>
      <c r="E7" s="43" t="n"/>
      <c r="F7" s="43" t="n"/>
      <c r="G7" s="43" t="n"/>
      <c r="H7" s="48">
        <f>IFERROR(E7/D7,"")</f>
        <v/>
      </c>
      <c r="I7" s="48">
        <f>IFERROR(SUM($E$5:E7)/SUM($D$5:D7),"")</f>
        <v/>
      </c>
      <c r="J7" s="43" t="n"/>
      <c r="K7" s="43" t="n"/>
      <c r="L7" s="43" t="n"/>
      <c r="M7" s="43" t="n"/>
      <c r="N7" s="43" t="n"/>
      <c r="O7" s="43" t="n"/>
      <c r="P7" s="43" t="n"/>
      <c r="Q7" s="43" t="n"/>
      <c r="R7" s="49" t="n"/>
      <c r="S7" s="43" t="n"/>
      <c r="T7" s="43" t="n"/>
    </row>
    <row r="8" ht="15" customHeight="1" s="25">
      <c r="A8" s="36" t="n">
        <v>4</v>
      </c>
      <c r="B8" s="38">
        <f>Config!$B$5+(4-1)*7</f>
        <v/>
      </c>
      <c r="C8" s="43" t="n"/>
      <c r="D8" s="43" t="n"/>
      <c r="E8" s="43" t="n"/>
      <c r="F8" s="43" t="n"/>
      <c r="G8" s="43" t="n"/>
      <c r="H8" s="48">
        <f>IFERROR(E8/D8,"")</f>
        <v/>
      </c>
      <c r="I8" s="48">
        <f>IFERROR(SUM(E5:E8)/SUM(D5:D8),"")</f>
        <v/>
      </c>
      <c r="J8" s="43" t="n"/>
      <c r="K8" s="43" t="n"/>
      <c r="L8" s="43" t="n"/>
      <c r="M8" s="43" t="n"/>
      <c r="N8" s="43" t="n"/>
      <c r="O8" s="43" t="n"/>
      <c r="P8" s="43" t="n"/>
      <c r="Q8" s="43" t="n"/>
      <c r="R8" s="49" t="n"/>
      <c r="S8" s="43" t="n"/>
      <c r="T8" s="43" t="n"/>
    </row>
    <row r="9" ht="15" customHeight="1" s="25">
      <c r="A9" s="36" t="n">
        <v>5</v>
      </c>
      <c r="B9" s="38">
        <f>Config!$B$5+(5-1)*7</f>
        <v/>
      </c>
      <c r="C9" s="43" t="n"/>
      <c r="D9" s="43" t="n"/>
      <c r="E9" s="43" t="n"/>
      <c r="F9" s="43" t="n"/>
      <c r="G9" s="43" t="n"/>
      <c r="H9" s="48">
        <f>IFERROR(E9/D9,"")</f>
        <v/>
      </c>
      <c r="I9" s="48">
        <f>IFERROR(SUM(E6:E9)/SUM(D6:D9),"")</f>
        <v/>
      </c>
      <c r="J9" s="43" t="n"/>
      <c r="K9" s="43" t="n"/>
      <c r="L9" s="43" t="n"/>
      <c r="M9" s="43" t="n"/>
      <c r="N9" s="43" t="n"/>
      <c r="O9" s="43" t="n"/>
      <c r="P9" s="43" t="n"/>
      <c r="Q9" s="43" t="n"/>
      <c r="R9" s="49" t="n"/>
      <c r="S9" s="43" t="n"/>
      <c r="T9" s="43" t="n"/>
    </row>
    <row r="10" ht="15" customHeight="1" s="25">
      <c r="A10" s="36" t="n">
        <v>6</v>
      </c>
      <c r="B10" s="38">
        <f>Config!$B$5+(6-1)*7</f>
        <v/>
      </c>
      <c r="C10" s="43" t="n"/>
      <c r="D10" s="43" t="n"/>
      <c r="E10" s="43" t="n"/>
      <c r="F10" s="43" t="n"/>
      <c r="G10" s="43" t="n"/>
      <c r="H10" s="48">
        <f>IFERROR(E10/D10,"")</f>
        <v/>
      </c>
      <c r="I10" s="48">
        <f>IFERROR(SUM(E7:E10)/SUM(D7:D10),"")</f>
        <v/>
      </c>
      <c r="J10" s="43" t="n"/>
      <c r="K10" s="43" t="n"/>
      <c r="L10" s="43" t="n"/>
      <c r="M10" s="43" t="n"/>
      <c r="N10" s="43" t="n"/>
      <c r="O10" s="43" t="n"/>
      <c r="P10" s="43" t="n"/>
      <c r="Q10" s="43" t="n"/>
      <c r="R10" s="49" t="n"/>
      <c r="S10" s="43" t="n"/>
      <c r="T10" s="43" t="n"/>
    </row>
    <row r="11" ht="15" customHeight="1" s="25">
      <c r="A11" s="36" t="n">
        <v>7</v>
      </c>
      <c r="B11" s="38">
        <f>Config!$B$5+(7-1)*7</f>
        <v/>
      </c>
      <c r="C11" s="43" t="n"/>
      <c r="D11" s="43" t="n"/>
      <c r="E11" s="43" t="n"/>
      <c r="F11" s="43" t="n"/>
      <c r="G11" s="43" t="n"/>
      <c r="H11" s="48">
        <f>IFERROR(E11/D11,"")</f>
        <v/>
      </c>
      <c r="I11" s="48">
        <f>IFERROR(SUM(E8:E11)/SUM(D8:D11),"")</f>
        <v/>
      </c>
      <c r="J11" s="43" t="n"/>
      <c r="K11" s="43" t="n"/>
      <c r="L11" s="43" t="n"/>
      <c r="M11" s="43" t="n"/>
      <c r="N11" s="43" t="n"/>
      <c r="O11" s="43" t="n"/>
      <c r="P11" s="43" t="n"/>
      <c r="Q11" s="43" t="n"/>
      <c r="R11" s="49" t="n"/>
      <c r="S11" s="43" t="n"/>
      <c r="T11" s="43" t="n"/>
    </row>
    <row r="12" ht="15" customHeight="1" s="25">
      <c r="A12" s="36" t="n">
        <v>8</v>
      </c>
      <c r="B12" s="38">
        <f>Config!$B$5+(8-1)*7</f>
        <v/>
      </c>
      <c r="C12" s="43" t="n"/>
      <c r="D12" s="43" t="n"/>
      <c r="E12" s="43" t="n"/>
      <c r="F12" s="43" t="n"/>
      <c r="G12" s="43" t="n"/>
      <c r="H12" s="48">
        <f>IFERROR(E12/D12,"")</f>
        <v/>
      </c>
      <c r="I12" s="48">
        <f>IFERROR(SUM(E9:E12)/SUM(D9:D12),"")</f>
        <v/>
      </c>
      <c r="J12" s="43" t="n"/>
      <c r="K12" s="43" t="n"/>
      <c r="L12" s="43" t="n"/>
      <c r="M12" s="43" t="n"/>
      <c r="N12" s="43" t="n"/>
      <c r="O12" s="43" t="n"/>
      <c r="P12" s="43" t="n"/>
      <c r="Q12" s="43" t="n"/>
      <c r="R12" s="49" t="n"/>
      <c r="S12" s="43" t="n"/>
      <c r="T12" s="43" t="n"/>
    </row>
    <row r="13" ht="15" customHeight="1" s="25">
      <c r="A13" s="36" t="n">
        <v>9</v>
      </c>
      <c r="B13" s="38">
        <f>Config!$B$5+(9-1)*7</f>
        <v/>
      </c>
      <c r="C13" s="43" t="n"/>
      <c r="D13" s="43" t="n"/>
      <c r="E13" s="43" t="n"/>
      <c r="F13" s="43" t="n"/>
      <c r="G13" s="43" t="n"/>
      <c r="H13" s="48">
        <f>IFERROR(E13/D13,"")</f>
        <v/>
      </c>
      <c r="I13" s="48">
        <f>IFERROR(SUM(E10:E13)/SUM(D10:D13),"")</f>
        <v/>
      </c>
      <c r="J13" s="43" t="n"/>
      <c r="K13" s="43" t="n"/>
      <c r="L13" s="43" t="n"/>
      <c r="M13" s="43" t="n"/>
      <c r="N13" s="43" t="n"/>
      <c r="O13" s="43" t="n"/>
      <c r="P13" s="43" t="n"/>
      <c r="Q13" s="43" t="n"/>
      <c r="R13" s="49" t="n"/>
      <c r="S13" s="43" t="n"/>
      <c r="T13" s="43" t="n"/>
    </row>
    <row r="14" ht="15" customHeight="1" s="25">
      <c r="A14" s="36" t="n">
        <v>10</v>
      </c>
      <c r="B14" s="38">
        <f>Config!$B$5+(10-1)*7</f>
        <v/>
      </c>
      <c r="C14" s="43" t="n"/>
      <c r="D14" s="43" t="n"/>
      <c r="E14" s="43" t="n"/>
      <c r="F14" s="43" t="n"/>
      <c r="G14" s="43" t="n"/>
      <c r="H14" s="48">
        <f>IFERROR(E14/D14,"")</f>
        <v/>
      </c>
      <c r="I14" s="48">
        <f>IFERROR(SUM(E11:E14)/SUM(D11:D14),"")</f>
        <v/>
      </c>
      <c r="J14" s="43" t="n"/>
      <c r="K14" s="43" t="n"/>
      <c r="L14" s="43" t="n"/>
      <c r="M14" s="43" t="n"/>
      <c r="N14" s="43" t="n"/>
      <c r="O14" s="43" t="n"/>
      <c r="P14" s="43" t="n"/>
      <c r="Q14" s="43" t="n"/>
      <c r="R14" s="49" t="n"/>
      <c r="S14" s="43" t="n"/>
      <c r="T14" s="43" t="n"/>
    </row>
    <row r="15" ht="15" customHeight="1" s="25">
      <c r="A15" s="36" t="n">
        <v>11</v>
      </c>
      <c r="B15" s="38">
        <f>Config!$B$5+(11-1)*7</f>
        <v/>
      </c>
      <c r="C15" s="43" t="n"/>
      <c r="D15" s="43" t="n"/>
      <c r="E15" s="43" t="n"/>
      <c r="F15" s="43" t="n"/>
      <c r="G15" s="43" t="n"/>
      <c r="H15" s="48">
        <f>IFERROR(E15/D15,"")</f>
        <v/>
      </c>
      <c r="I15" s="48">
        <f>IFERROR(SUM(E12:E15)/SUM(D12:D15),"")</f>
        <v/>
      </c>
      <c r="J15" s="43" t="n"/>
      <c r="K15" s="43" t="n"/>
      <c r="L15" s="43" t="n"/>
      <c r="M15" s="43" t="n"/>
      <c r="N15" s="43" t="n"/>
      <c r="O15" s="43" t="n"/>
      <c r="P15" s="43" t="n"/>
      <c r="Q15" s="43" t="n"/>
      <c r="R15" s="49" t="n"/>
      <c r="S15" s="43" t="n"/>
      <c r="T15" s="43" t="n"/>
    </row>
    <row r="16" ht="15" customHeight="1" s="25">
      <c r="A16" s="36" t="n">
        <v>12</v>
      </c>
      <c r="B16" s="38">
        <f>Config!$B$5+(12-1)*7</f>
        <v/>
      </c>
      <c r="C16" s="43" t="n"/>
      <c r="D16" s="43" t="n"/>
      <c r="E16" s="43" t="n"/>
      <c r="F16" s="43" t="n"/>
      <c r="G16" s="43" t="n"/>
      <c r="H16" s="48">
        <f>IFERROR(E16/D16,"")</f>
        <v/>
      </c>
      <c r="I16" s="48">
        <f>IFERROR(SUM(E13:E16)/SUM(D13:D16),"")</f>
        <v/>
      </c>
      <c r="J16" s="43" t="n"/>
      <c r="K16" s="43" t="n"/>
      <c r="L16" s="43" t="n"/>
      <c r="M16" s="43" t="n"/>
      <c r="N16" s="43" t="n"/>
      <c r="O16" s="43" t="n"/>
      <c r="P16" s="43" t="n"/>
      <c r="Q16" s="43" t="n"/>
      <c r="R16" s="49" t="n"/>
      <c r="S16" s="43" t="n"/>
      <c r="T16" s="43" t="n"/>
    </row>
    <row r="17" ht="15" customHeight="1" s="25">
      <c r="A17" s="36" t="n">
        <v>13</v>
      </c>
      <c r="B17" s="38">
        <f>Config!$B$5+(13-1)*7</f>
        <v/>
      </c>
      <c r="C17" s="43" t="n"/>
      <c r="D17" s="43" t="n"/>
      <c r="E17" s="43" t="n"/>
      <c r="F17" s="43" t="n"/>
      <c r="G17" s="43" t="n"/>
      <c r="H17" s="48">
        <f>IFERROR(E17/D17,"")</f>
        <v/>
      </c>
      <c r="I17" s="48">
        <f>IFERROR(SUM(E14:E17)/SUM(D14:D17),"")</f>
        <v/>
      </c>
      <c r="J17" s="43" t="n"/>
      <c r="K17" s="43" t="n"/>
      <c r="L17" s="43" t="n"/>
      <c r="M17" s="43" t="n"/>
      <c r="N17" s="43" t="n"/>
      <c r="O17" s="43" t="n"/>
      <c r="P17" s="43" t="n"/>
      <c r="Q17" s="43" t="n"/>
      <c r="R17" s="49" t="n"/>
      <c r="S17" s="43" t="n"/>
      <c r="T17" s="43" t="n"/>
    </row>
    <row r="18" ht="15" customHeight="1" s="25">
      <c r="A18" s="36" t="n">
        <v>14</v>
      </c>
      <c r="B18" s="38">
        <f>Config!$B$5+(14-1)*7</f>
        <v/>
      </c>
      <c r="C18" s="43" t="n"/>
      <c r="D18" s="43" t="n"/>
      <c r="E18" s="43" t="n"/>
      <c r="F18" s="43" t="n"/>
      <c r="G18" s="43" t="n"/>
      <c r="H18" s="48">
        <f>IFERROR(E18/D18,"")</f>
        <v/>
      </c>
      <c r="I18" s="48">
        <f>IFERROR(SUM(E15:E18)/SUM(D15:D18),"")</f>
        <v/>
      </c>
      <c r="J18" s="43" t="n"/>
      <c r="K18" s="43" t="n"/>
      <c r="L18" s="43" t="n"/>
      <c r="M18" s="43" t="n"/>
      <c r="N18" s="43" t="n"/>
      <c r="O18" s="43" t="n"/>
      <c r="P18" s="43" t="n"/>
      <c r="Q18" s="43" t="n"/>
      <c r="R18" s="49" t="n"/>
      <c r="S18" s="43" t="n"/>
      <c r="T18" s="43" t="n"/>
    </row>
    <row r="19" ht="15" customHeight="1" s="25">
      <c r="A19" s="36" t="n">
        <v>15</v>
      </c>
      <c r="B19" s="38">
        <f>Config!$B$5+(15-1)*7</f>
        <v/>
      </c>
      <c r="C19" s="43" t="n"/>
      <c r="D19" s="43" t="n"/>
      <c r="E19" s="43" t="n"/>
      <c r="F19" s="43" t="n"/>
      <c r="G19" s="43" t="n"/>
      <c r="H19" s="48">
        <f>IFERROR(E19/D19,"")</f>
        <v/>
      </c>
      <c r="I19" s="48">
        <f>IFERROR(SUM(E16:E19)/SUM(D16:D19),"")</f>
        <v/>
      </c>
      <c r="J19" s="43" t="n"/>
      <c r="K19" s="43" t="n"/>
      <c r="L19" s="43" t="n"/>
      <c r="M19" s="43" t="n"/>
      <c r="N19" s="43" t="n"/>
      <c r="O19" s="43" t="n"/>
      <c r="P19" s="43" t="n"/>
      <c r="Q19" s="43" t="n"/>
      <c r="R19" s="49" t="n"/>
      <c r="S19" s="43" t="n"/>
      <c r="T19" s="43" t="n"/>
    </row>
    <row r="20" ht="15" customHeight="1" s="25">
      <c r="A20" s="36" t="n">
        <v>16</v>
      </c>
      <c r="B20" s="38">
        <f>Config!$B$5+(16-1)*7</f>
        <v/>
      </c>
      <c r="C20" s="43" t="n"/>
      <c r="D20" s="43" t="n"/>
      <c r="E20" s="43" t="n"/>
      <c r="F20" s="43" t="n"/>
      <c r="G20" s="43" t="n"/>
      <c r="H20" s="48">
        <f>IFERROR(E20/D20,"")</f>
        <v/>
      </c>
      <c r="I20" s="48">
        <f>IFERROR(SUM(E17:E20)/SUM(D17:D20),"")</f>
        <v/>
      </c>
      <c r="J20" s="43" t="n"/>
      <c r="K20" s="43" t="n"/>
      <c r="L20" s="43" t="n"/>
      <c r="M20" s="43" t="n"/>
      <c r="N20" s="43" t="n"/>
      <c r="O20" s="43" t="n"/>
      <c r="P20" s="43" t="n"/>
      <c r="Q20" s="43" t="n"/>
      <c r="R20" s="49" t="n"/>
      <c r="S20" s="43" t="n"/>
      <c r="T20" s="43" t="n"/>
    </row>
    <row r="21" ht="15" customHeight="1" s="25">
      <c r="A21" s="36" t="n">
        <v>17</v>
      </c>
      <c r="B21" s="38">
        <f>Config!$B$5+(17-1)*7</f>
        <v/>
      </c>
      <c r="C21" s="43" t="n"/>
      <c r="D21" s="43" t="n"/>
      <c r="E21" s="43" t="n"/>
      <c r="F21" s="43" t="n"/>
      <c r="G21" s="43" t="n"/>
      <c r="H21" s="48">
        <f>IFERROR(E21/D21,"")</f>
        <v/>
      </c>
      <c r="I21" s="48">
        <f>IFERROR(SUM(E18:E21)/SUM(D18:D21),"")</f>
        <v/>
      </c>
      <c r="J21" s="43" t="n"/>
      <c r="K21" s="43" t="n"/>
      <c r="L21" s="43" t="n"/>
      <c r="M21" s="43" t="n"/>
      <c r="N21" s="43" t="n"/>
      <c r="O21" s="43" t="n"/>
      <c r="P21" s="43" t="n"/>
      <c r="Q21" s="43" t="n"/>
      <c r="R21" s="49" t="n"/>
      <c r="S21" s="43" t="n"/>
      <c r="T21" s="43" t="n"/>
    </row>
    <row r="22" ht="15" customHeight="1" s="25">
      <c r="A22" s="36" t="n">
        <v>18</v>
      </c>
      <c r="B22" s="38">
        <f>Config!$B$5+(18-1)*7</f>
        <v/>
      </c>
      <c r="C22" s="43" t="n"/>
      <c r="D22" s="43" t="n"/>
      <c r="E22" s="43" t="n"/>
      <c r="F22" s="43" t="n"/>
      <c r="G22" s="43" t="n"/>
      <c r="H22" s="48">
        <f>IFERROR(E22/D22,"")</f>
        <v/>
      </c>
      <c r="I22" s="48">
        <f>IFERROR(SUM(E19:E22)/SUM(D19:D22),"")</f>
        <v/>
      </c>
      <c r="J22" s="43" t="n"/>
      <c r="K22" s="43" t="n"/>
      <c r="L22" s="43" t="n"/>
      <c r="M22" s="43" t="n"/>
      <c r="N22" s="43" t="n"/>
      <c r="O22" s="43" t="n"/>
      <c r="P22" s="43" t="n"/>
      <c r="Q22" s="43" t="n"/>
      <c r="R22" s="49" t="n"/>
      <c r="S22" s="43" t="n"/>
      <c r="T22" s="43" t="n"/>
    </row>
    <row r="23" ht="15" customHeight="1" s="25">
      <c r="A23" s="36" t="n">
        <v>19</v>
      </c>
      <c r="B23" s="38">
        <f>Config!$B$5+(19-1)*7</f>
        <v/>
      </c>
      <c r="C23" s="43" t="n"/>
      <c r="D23" s="43" t="n"/>
      <c r="E23" s="43" t="n"/>
      <c r="F23" s="43" t="n"/>
      <c r="G23" s="43" t="n"/>
      <c r="H23" s="48">
        <f>IFERROR(E23/D23,"")</f>
        <v/>
      </c>
      <c r="I23" s="48">
        <f>IFERROR(SUM(E20:E23)/SUM(D20:D23),"")</f>
        <v/>
      </c>
      <c r="J23" s="43" t="n"/>
      <c r="K23" s="43" t="n"/>
      <c r="L23" s="43" t="n"/>
      <c r="M23" s="43" t="n"/>
      <c r="N23" s="43" t="n"/>
      <c r="O23" s="43" t="n"/>
      <c r="P23" s="43" t="n"/>
      <c r="Q23" s="43" t="n"/>
      <c r="R23" s="49" t="n"/>
      <c r="S23" s="43" t="n"/>
      <c r="T23" s="43" t="n"/>
    </row>
    <row r="24" ht="15" customHeight="1" s="25">
      <c r="A24" s="36" t="n">
        <v>20</v>
      </c>
      <c r="B24" s="38">
        <f>Config!$B$5+(20-1)*7</f>
        <v/>
      </c>
      <c r="C24" s="43" t="n"/>
      <c r="D24" s="43" t="n"/>
      <c r="E24" s="43" t="n"/>
      <c r="F24" s="43" t="n"/>
      <c r="G24" s="43" t="n"/>
      <c r="H24" s="48">
        <f>IFERROR(E24/D24,"")</f>
        <v/>
      </c>
      <c r="I24" s="48">
        <f>IFERROR(SUM(E21:E24)/SUM(D21:D24),"")</f>
        <v/>
      </c>
      <c r="J24" s="43" t="n"/>
      <c r="K24" s="43" t="n"/>
      <c r="L24" s="43" t="n"/>
      <c r="M24" s="43" t="n"/>
      <c r="N24" s="43" t="n"/>
      <c r="O24" s="43" t="n"/>
      <c r="P24" s="43" t="n"/>
      <c r="Q24" s="43" t="n"/>
      <c r="R24" s="49" t="n"/>
      <c r="S24" s="43" t="n"/>
      <c r="T24" s="43" t="n"/>
    </row>
    <row r="25" ht="15" customHeight="1" s="25">
      <c r="A25" s="36" t="n">
        <v>21</v>
      </c>
      <c r="B25" s="38">
        <f>Config!$B$5+(21-1)*7</f>
        <v/>
      </c>
      <c r="C25" s="43" t="n"/>
      <c r="D25" s="43" t="n"/>
      <c r="E25" s="43" t="n"/>
      <c r="F25" s="43" t="n"/>
      <c r="G25" s="43" t="n"/>
      <c r="H25" s="48">
        <f>IFERROR(E25/D25,"")</f>
        <v/>
      </c>
      <c r="I25" s="48">
        <f>IFERROR(SUM(E22:E25)/SUM(D22:D25),"")</f>
        <v/>
      </c>
      <c r="J25" s="43" t="n"/>
      <c r="K25" s="43" t="n"/>
      <c r="L25" s="43" t="n"/>
      <c r="M25" s="43" t="n"/>
      <c r="N25" s="43" t="n"/>
      <c r="O25" s="43" t="n"/>
      <c r="P25" s="43" t="n"/>
      <c r="Q25" s="43" t="n"/>
      <c r="R25" s="49" t="n"/>
      <c r="S25" s="43" t="n"/>
      <c r="T25" s="43" t="n"/>
    </row>
    <row r="26" ht="15" customHeight="1" s="25">
      <c r="A26" s="36" t="n">
        <v>22</v>
      </c>
      <c r="B26" s="38">
        <f>Config!$B$5+(22-1)*7</f>
        <v/>
      </c>
      <c r="C26" s="43" t="n"/>
      <c r="D26" s="43" t="n"/>
      <c r="E26" s="43" t="n"/>
      <c r="F26" s="43" t="n"/>
      <c r="G26" s="43" t="n"/>
      <c r="H26" s="48">
        <f>IFERROR(E26/D26,"")</f>
        <v/>
      </c>
      <c r="I26" s="48">
        <f>IFERROR(SUM(E23:E26)/SUM(D23:D26),"")</f>
        <v/>
      </c>
      <c r="J26" s="43" t="n"/>
      <c r="K26" s="43" t="n"/>
      <c r="L26" s="43" t="n"/>
      <c r="M26" s="43" t="n"/>
      <c r="N26" s="43" t="n"/>
      <c r="O26" s="43" t="n"/>
      <c r="P26" s="43" t="n"/>
      <c r="Q26" s="43" t="n"/>
      <c r="R26" s="49" t="n"/>
      <c r="S26" s="43" t="n"/>
      <c r="T26" s="43" t="n"/>
    </row>
    <row r="27" ht="15" customHeight="1" s="25">
      <c r="A27" s="36" t="n">
        <v>23</v>
      </c>
      <c r="B27" s="38">
        <f>Config!$B$5+(23-1)*7</f>
        <v/>
      </c>
      <c r="C27" s="43" t="n"/>
      <c r="D27" s="43" t="n"/>
      <c r="E27" s="43" t="n"/>
      <c r="F27" s="43" t="n"/>
      <c r="G27" s="43" t="n"/>
      <c r="H27" s="48">
        <f>IFERROR(E27/D27,"")</f>
        <v/>
      </c>
      <c r="I27" s="48">
        <f>IFERROR(SUM(E24:E27)/SUM(D24:D27),"")</f>
        <v/>
      </c>
      <c r="J27" s="43" t="n"/>
      <c r="K27" s="43" t="n"/>
      <c r="L27" s="43" t="n"/>
      <c r="M27" s="43" t="n"/>
      <c r="N27" s="43" t="n"/>
      <c r="O27" s="43" t="n"/>
      <c r="P27" s="43" t="n"/>
      <c r="Q27" s="43" t="n"/>
      <c r="R27" s="49" t="n"/>
      <c r="S27" s="43" t="n"/>
      <c r="T27" s="43" t="n"/>
    </row>
    <row r="28" ht="15" customHeight="1" s="25">
      <c r="A28" s="36" t="n">
        <v>24</v>
      </c>
      <c r="B28" s="38">
        <f>Config!$B$5+(24-1)*7</f>
        <v/>
      </c>
      <c r="C28" s="43" t="n"/>
      <c r="D28" s="43" t="n"/>
      <c r="E28" s="43" t="n"/>
      <c r="F28" s="43" t="n"/>
      <c r="G28" s="43" t="n"/>
      <c r="H28" s="48">
        <f>IFERROR(E28/D28,"")</f>
        <v/>
      </c>
      <c r="I28" s="48">
        <f>IFERROR(SUM(E25:E28)/SUM(D25:D28),"")</f>
        <v/>
      </c>
      <c r="J28" s="43" t="n"/>
      <c r="K28" s="43" t="n"/>
      <c r="L28" s="43" t="n"/>
      <c r="M28" s="43" t="n"/>
      <c r="N28" s="43" t="n"/>
      <c r="O28" s="43" t="n"/>
      <c r="P28" s="43" t="n"/>
      <c r="Q28" s="43" t="n"/>
      <c r="R28" s="49" t="n"/>
      <c r="S28" s="43" t="n"/>
      <c r="T28" s="43" t="n"/>
    </row>
    <row r="29" ht="15" customHeight="1" s="25">
      <c r="A29" s="36" t="n">
        <v>25</v>
      </c>
      <c r="B29" s="38">
        <f>Config!$B$5+(25-1)*7</f>
        <v/>
      </c>
      <c r="C29" s="43" t="n"/>
      <c r="D29" s="43" t="n"/>
      <c r="E29" s="43" t="n"/>
      <c r="F29" s="43" t="n"/>
      <c r="G29" s="43" t="n"/>
      <c r="H29" s="48">
        <f>IFERROR(E29/D29,"")</f>
        <v/>
      </c>
      <c r="I29" s="48">
        <f>IFERROR(SUM(E26:E29)/SUM(D26:D29),"")</f>
        <v/>
      </c>
      <c r="J29" s="43" t="n"/>
      <c r="K29" s="43" t="n"/>
      <c r="L29" s="43" t="n"/>
      <c r="M29" s="43" t="n"/>
      <c r="N29" s="43" t="n"/>
      <c r="O29" s="43" t="n"/>
      <c r="P29" s="43" t="n"/>
      <c r="Q29" s="43" t="n"/>
      <c r="R29" s="49" t="n"/>
      <c r="S29" s="43" t="n"/>
      <c r="T29" s="43" t="n"/>
    </row>
    <row r="30" ht="15" customHeight="1" s="25">
      <c r="A30" s="36" t="n">
        <v>26</v>
      </c>
      <c r="B30" s="38">
        <f>Config!$B$5+(26-1)*7</f>
        <v/>
      </c>
      <c r="C30" s="43" t="n"/>
      <c r="D30" s="43" t="n"/>
      <c r="E30" s="43" t="n"/>
      <c r="F30" s="43" t="n"/>
      <c r="G30" s="43" t="n"/>
      <c r="H30" s="48">
        <f>IFERROR(E30/D30,"")</f>
        <v/>
      </c>
      <c r="I30" s="48">
        <f>IFERROR(SUM(E27:E30)/SUM(D27:D30),"")</f>
        <v/>
      </c>
      <c r="J30" s="43" t="n"/>
      <c r="K30" s="43" t="n"/>
      <c r="L30" s="43" t="n"/>
      <c r="M30" s="43" t="n"/>
      <c r="N30" s="43" t="n"/>
      <c r="O30" s="43" t="n"/>
      <c r="P30" s="43" t="n"/>
      <c r="Q30" s="43" t="n"/>
      <c r="R30" s="49" t="n"/>
      <c r="S30" s="43" t="n"/>
      <c r="T30" s="43" t="n"/>
    </row>
    <row r="31" ht="15" customHeight="1" s="25">
      <c r="A31" s="36" t="n">
        <v>27</v>
      </c>
      <c r="B31" s="38">
        <f>Config!$B$5+(27-1)*7</f>
        <v/>
      </c>
      <c r="C31" s="43" t="n"/>
      <c r="D31" s="43" t="n"/>
      <c r="E31" s="43" t="n"/>
      <c r="F31" s="43" t="n"/>
      <c r="G31" s="43" t="n"/>
      <c r="H31" s="48">
        <f>IFERROR(E31/D31,"")</f>
        <v/>
      </c>
      <c r="I31" s="48">
        <f>IFERROR(SUM(E28:E31)/SUM(D28:D31),"")</f>
        <v/>
      </c>
      <c r="J31" s="43" t="n"/>
      <c r="K31" s="43" t="n"/>
      <c r="L31" s="43" t="n"/>
      <c r="M31" s="43" t="n"/>
      <c r="N31" s="43" t="n"/>
      <c r="O31" s="43" t="n"/>
      <c r="P31" s="43" t="n"/>
      <c r="Q31" s="43" t="n"/>
      <c r="R31" s="49" t="n"/>
      <c r="S31" s="43" t="n"/>
      <c r="T31" s="43" t="n"/>
    </row>
    <row r="32" ht="15" customHeight="1" s="25">
      <c r="A32" s="36" t="n">
        <v>28</v>
      </c>
      <c r="B32" s="38">
        <f>Config!$B$5+(28-1)*7</f>
        <v/>
      </c>
      <c r="C32" s="43" t="n"/>
      <c r="D32" s="43" t="n"/>
      <c r="E32" s="43" t="n"/>
      <c r="F32" s="43" t="n"/>
      <c r="G32" s="43" t="n"/>
      <c r="H32" s="48">
        <f>IFERROR(E32/D32,"")</f>
        <v/>
      </c>
      <c r="I32" s="48">
        <f>IFERROR(SUM(E29:E32)/SUM(D29:D32),"")</f>
        <v/>
      </c>
      <c r="J32" s="43" t="n"/>
      <c r="K32" s="43" t="n"/>
      <c r="L32" s="43" t="n"/>
      <c r="M32" s="43" t="n"/>
      <c r="N32" s="43" t="n"/>
      <c r="O32" s="43" t="n"/>
      <c r="P32" s="43" t="n"/>
      <c r="Q32" s="43" t="n"/>
      <c r="R32" s="49" t="n"/>
      <c r="S32" s="43" t="n"/>
      <c r="T32" s="43" t="n"/>
    </row>
    <row r="33" ht="15" customHeight="1" s="25">
      <c r="A33" s="36" t="n">
        <v>29</v>
      </c>
      <c r="B33" s="38">
        <f>Config!$B$5+(29-1)*7</f>
        <v/>
      </c>
      <c r="C33" s="43" t="n"/>
      <c r="D33" s="43" t="n"/>
      <c r="E33" s="43" t="n"/>
      <c r="F33" s="43" t="n"/>
      <c r="G33" s="43" t="n"/>
      <c r="H33" s="48">
        <f>IFERROR(E33/D33,"")</f>
        <v/>
      </c>
      <c r="I33" s="48">
        <f>IFERROR(SUM(E30:E33)/SUM(D30:D33),"")</f>
        <v/>
      </c>
      <c r="J33" s="43" t="n"/>
      <c r="K33" s="43" t="n"/>
      <c r="L33" s="43" t="n"/>
      <c r="M33" s="43" t="n"/>
      <c r="N33" s="43" t="n"/>
      <c r="O33" s="43" t="n"/>
      <c r="P33" s="43" t="n"/>
      <c r="Q33" s="43" t="n"/>
      <c r="R33" s="49" t="n"/>
      <c r="S33" s="43" t="n"/>
      <c r="T33" s="43" t="n"/>
    </row>
    <row r="34" ht="15" customHeight="1" s="25">
      <c r="A34" s="36" t="n">
        <v>30</v>
      </c>
      <c r="B34" s="38">
        <f>Config!$B$5+(30-1)*7</f>
        <v/>
      </c>
      <c r="C34" s="43" t="n"/>
      <c r="D34" s="43" t="n"/>
      <c r="E34" s="43" t="n"/>
      <c r="F34" s="43" t="n"/>
      <c r="G34" s="43" t="n"/>
      <c r="H34" s="48">
        <f>IFERROR(E34/D34,"")</f>
        <v/>
      </c>
      <c r="I34" s="48">
        <f>IFERROR(SUM(E31:E34)/SUM(D31:D34),"")</f>
        <v/>
      </c>
      <c r="J34" s="43" t="n"/>
      <c r="K34" s="43" t="n"/>
      <c r="L34" s="43" t="n"/>
      <c r="M34" s="43" t="n"/>
      <c r="N34" s="43" t="n"/>
      <c r="O34" s="43" t="n"/>
      <c r="P34" s="43" t="n"/>
      <c r="Q34" s="43" t="n"/>
      <c r="R34" s="49" t="n"/>
      <c r="S34" s="43" t="n"/>
      <c r="T34" s="43" t="n"/>
    </row>
    <row r="35" ht="15" customHeight="1" s="25">
      <c r="A35" s="36" t="n">
        <v>31</v>
      </c>
      <c r="B35" s="38">
        <f>Config!$B$5+(31-1)*7</f>
        <v/>
      </c>
      <c r="C35" s="43" t="n"/>
      <c r="D35" s="43" t="n"/>
      <c r="E35" s="43" t="n"/>
      <c r="F35" s="43" t="n"/>
      <c r="G35" s="43" t="n"/>
      <c r="H35" s="48">
        <f>IFERROR(E35/D35,"")</f>
        <v/>
      </c>
      <c r="I35" s="48">
        <f>IFERROR(SUM(E32:E35)/SUM(D32:D35),"")</f>
        <v/>
      </c>
      <c r="J35" s="43" t="n"/>
      <c r="K35" s="43" t="n"/>
      <c r="L35" s="43" t="n"/>
      <c r="M35" s="43" t="n"/>
      <c r="N35" s="43" t="n"/>
      <c r="O35" s="43" t="n"/>
      <c r="P35" s="43" t="n"/>
      <c r="Q35" s="43" t="n"/>
      <c r="R35" s="49" t="n"/>
      <c r="S35" s="43" t="n"/>
      <c r="T35" s="43" t="n"/>
    </row>
    <row r="36" ht="15" customHeight="1" s="25">
      <c r="A36" s="36" t="n">
        <v>32</v>
      </c>
      <c r="B36" s="38">
        <f>Config!$B$5+(32-1)*7</f>
        <v/>
      </c>
      <c r="C36" s="43" t="n"/>
      <c r="D36" s="43" t="n"/>
      <c r="E36" s="43" t="n"/>
      <c r="F36" s="43" t="n"/>
      <c r="G36" s="43" t="n"/>
      <c r="H36" s="48">
        <f>IFERROR(E36/D36,"")</f>
        <v/>
      </c>
      <c r="I36" s="48">
        <f>IFERROR(SUM(E33:E36)/SUM(D33:D36),"")</f>
        <v/>
      </c>
      <c r="J36" s="43" t="n"/>
      <c r="K36" s="43" t="n"/>
      <c r="L36" s="43" t="n"/>
      <c r="M36" s="43" t="n"/>
      <c r="N36" s="43" t="n"/>
      <c r="O36" s="43" t="n"/>
      <c r="P36" s="43" t="n"/>
      <c r="Q36" s="43" t="n"/>
      <c r="R36" s="49" t="n"/>
      <c r="S36" s="43" t="n"/>
      <c r="T36" s="43" t="n"/>
    </row>
    <row r="37" ht="15" customHeight="1" s="25">
      <c r="A37" s="36" t="n">
        <v>33</v>
      </c>
      <c r="B37" s="38">
        <f>Config!$B$5+(33-1)*7</f>
        <v/>
      </c>
      <c r="C37" s="43" t="n"/>
      <c r="D37" s="43" t="n"/>
      <c r="E37" s="43" t="n"/>
      <c r="F37" s="43" t="n"/>
      <c r="G37" s="43" t="n"/>
      <c r="H37" s="48">
        <f>IFERROR(E37/D37,"")</f>
        <v/>
      </c>
      <c r="I37" s="48">
        <f>IFERROR(SUM(E34:E37)/SUM(D34:D37),"")</f>
        <v/>
      </c>
      <c r="J37" s="43" t="n"/>
      <c r="K37" s="43" t="n"/>
      <c r="L37" s="43" t="n"/>
      <c r="M37" s="43" t="n"/>
      <c r="N37" s="43" t="n"/>
      <c r="O37" s="43" t="n"/>
      <c r="P37" s="43" t="n"/>
      <c r="Q37" s="43" t="n"/>
      <c r="R37" s="49" t="n"/>
      <c r="S37" s="43" t="n"/>
      <c r="T37" s="43" t="n"/>
    </row>
    <row r="38" ht="15" customHeight="1" s="25">
      <c r="A38" s="36" t="n">
        <v>34</v>
      </c>
      <c r="B38" s="38">
        <f>Config!$B$5+(34-1)*7</f>
        <v/>
      </c>
      <c r="C38" s="43" t="n"/>
      <c r="D38" s="43" t="n"/>
      <c r="E38" s="43" t="n"/>
      <c r="F38" s="43" t="n"/>
      <c r="G38" s="43" t="n"/>
      <c r="H38" s="48">
        <f>IFERROR(E38/D38,"")</f>
        <v/>
      </c>
      <c r="I38" s="48">
        <f>IFERROR(SUM(E35:E38)/SUM(D35:D38),"")</f>
        <v/>
      </c>
      <c r="J38" s="43" t="n"/>
      <c r="K38" s="43" t="n"/>
      <c r="L38" s="43" t="n"/>
      <c r="M38" s="43" t="n"/>
      <c r="N38" s="43" t="n"/>
      <c r="O38" s="43" t="n"/>
      <c r="P38" s="43" t="n"/>
      <c r="Q38" s="43" t="n"/>
      <c r="R38" s="49" t="n"/>
      <c r="S38" s="43" t="n"/>
      <c r="T38" s="43" t="n"/>
    </row>
    <row r="39" ht="15" customHeight="1" s="25">
      <c r="A39" s="36" t="n">
        <v>35</v>
      </c>
      <c r="B39" s="38">
        <f>Config!$B$5+(35-1)*7</f>
        <v/>
      </c>
      <c r="C39" s="43" t="n"/>
      <c r="D39" s="43" t="n"/>
      <c r="E39" s="43" t="n"/>
      <c r="F39" s="43" t="n"/>
      <c r="G39" s="43" t="n"/>
      <c r="H39" s="48">
        <f>IFERROR(E39/D39,"")</f>
        <v/>
      </c>
      <c r="I39" s="48">
        <f>IFERROR(SUM(E36:E39)/SUM(D36:D39),"")</f>
        <v/>
      </c>
      <c r="J39" s="43" t="n"/>
      <c r="K39" s="43" t="n"/>
      <c r="L39" s="43" t="n"/>
      <c r="M39" s="43" t="n"/>
      <c r="N39" s="43" t="n"/>
      <c r="O39" s="43" t="n"/>
      <c r="P39" s="43" t="n"/>
      <c r="Q39" s="43" t="n"/>
      <c r="R39" s="49" t="n"/>
      <c r="S39" s="43" t="n"/>
      <c r="T39" s="43" t="n"/>
    </row>
    <row r="40" ht="15" customHeight="1" s="25">
      <c r="A40" s="36" t="n">
        <v>36</v>
      </c>
      <c r="B40" s="38">
        <f>Config!$B$5+(36-1)*7</f>
        <v/>
      </c>
      <c r="C40" s="43" t="n"/>
      <c r="D40" s="43" t="n"/>
      <c r="E40" s="43" t="n"/>
      <c r="F40" s="43" t="n"/>
      <c r="G40" s="43" t="n"/>
      <c r="H40" s="48">
        <f>IFERROR(E40/D40,"")</f>
        <v/>
      </c>
      <c r="I40" s="48">
        <f>IFERROR(SUM(E37:E40)/SUM(D37:D40),"")</f>
        <v/>
      </c>
      <c r="J40" s="43" t="n"/>
      <c r="K40" s="43" t="n"/>
      <c r="L40" s="43" t="n"/>
      <c r="M40" s="43" t="n"/>
      <c r="N40" s="43" t="n"/>
      <c r="O40" s="43" t="n"/>
      <c r="P40" s="43" t="n"/>
      <c r="Q40" s="43" t="n"/>
      <c r="R40" s="49" t="n"/>
      <c r="S40" s="43" t="n"/>
      <c r="T40" s="43" t="n"/>
    </row>
    <row r="41" ht="15" customHeight="1" s="25">
      <c r="A41" s="36" t="n">
        <v>37</v>
      </c>
      <c r="B41" s="38">
        <f>Config!$B$5+(37-1)*7</f>
        <v/>
      </c>
      <c r="C41" s="43" t="n"/>
      <c r="D41" s="43" t="n"/>
      <c r="E41" s="43" t="n"/>
      <c r="F41" s="43" t="n"/>
      <c r="G41" s="43" t="n"/>
      <c r="H41" s="48">
        <f>IFERROR(E41/D41,"")</f>
        <v/>
      </c>
      <c r="I41" s="48">
        <f>IFERROR(SUM(E38:E41)/SUM(D38:D41),"")</f>
        <v/>
      </c>
      <c r="J41" s="43" t="n"/>
      <c r="K41" s="43" t="n"/>
      <c r="L41" s="43" t="n"/>
      <c r="M41" s="43" t="n"/>
      <c r="N41" s="43" t="n"/>
      <c r="O41" s="43" t="n"/>
      <c r="P41" s="43" t="n"/>
      <c r="Q41" s="43" t="n"/>
      <c r="R41" s="49" t="n"/>
      <c r="S41" s="43" t="n"/>
      <c r="T41" s="43" t="n"/>
    </row>
    <row r="42" ht="15" customHeight="1" s="25">
      <c r="A42" s="36" t="n">
        <v>38</v>
      </c>
      <c r="B42" s="38">
        <f>Config!$B$5+(38-1)*7</f>
        <v/>
      </c>
      <c r="C42" s="43" t="n"/>
      <c r="D42" s="43" t="n"/>
      <c r="E42" s="43" t="n"/>
      <c r="F42" s="43" t="n"/>
      <c r="G42" s="43" t="n"/>
      <c r="H42" s="48">
        <f>IFERROR(E42/D42,"")</f>
        <v/>
      </c>
      <c r="I42" s="48">
        <f>IFERROR(SUM(E39:E42)/SUM(D39:D42),"")</f>
        <v/>
      </c>
      <c r="J42" s="43" t="n"/>
      <c r="K42" s="43" t="n"/>
      <c r="L42" s="43" t="n"/>
      <c r="M42" s="43" t="n"/>
      <c r="N42" s="43" t="n"/>
      <c r="O42" s="43" t="n"/>
      <c r="P42" s="43" t="n"/>
      <c r="Q42" s="43" t="n"/>
      <c r="R42" s="49" t="n"/>
      <c r="S42" s="43" t="n"/>
      <c r="T42" s="43" t="n"/>
    </row>
    <row r="43" ht="15" customHeight="1" s="25">
      <c r="A43" s="36" t="n">
        <v>39</v>
      </c>
      <c r="B43" s="38">
        <f>Config!$B$5+(39-1)*7</f>
        <v/>
      </c>
      <c r="C43" s="43" t="n"/>
      <c r="D43" s="43" t="n"/>
      <c r="E43" s="43" t="n"/>
      <c r="F43" s="43" t="n"/>
      <c r="G43" s="43" t="n"/>
      <c r="H43" s="48">
        <f>IFERROR(E43/D43,"")</f>
        <v/>
      </c>
      <c r="I43" s="48">
        <f>IFERROR(SUM(E40:E43)/SUM(D40:D43),"")</f>
        <v/>
      </c>
      <c r="J43" s="43" t="n"/>
      <c r="K43" s="43" t="n"/>
      <c r="L43" s="43" t="n"/>
      <c r="M43" s="43" t="n"/>
      <c r="N43" s="43" t="n"/>
      <c r="O43" s="43" t="n"/>
      <c r="P43" s="43" t="n"/>
      <c r="Q43" s="43" t="n"/>
      <c r="R43" s="49" t="n"/>
      <c r="S43" s="43" t="n"/>
      <c r="T43" s="43" t="n"/>
    </row>
    <row r="44" ht="15" customHeight="1" s="25">
      <c r="A44" s="36" t="n">
        <v>40</v>
      </c>
      <c r="B44" s="38">
        <f>Config!$B$5+(40-1)*7</f>
        <v/>
      </c>
      <c r="C44" s="43" t="n"/>
      <c r="D44" s="43" t="n"/>
      <c r="E44" s="43" t="n"/>
      <c r="F44" s="43" t="n"/>
      <c r="G44" s="43" t="n"/>
      <c r="H44" s="48">
        <f>IFERROR(E44/D44,"")</f>
        <v/>
      </c>
      <c r="I44" s="48">
        <f>IFERROR(SUM(E41:E44)/SUM(D41:D44),"")</f>
        <v/>
      </c>
      <c r="J44" s="43" t="n"/>
      <c r="K44" s="43" t="n"/>
      <c r="L44" s="43" t="n"/>
      <c r="M44" s="43" t="n"/>
      <c r="N44" s="43" t="n"/>
      <c r="O44" s="43" t="n"/>
      <c r="P44" s="43" t="n"/>
      <c r="Q44" s="43" t="n"/>
      <c r="R44" s="49" t="n"/>
      <c r="S44" s="43" t="n"/>
      <c r="T44" s="43" t="n"/>
    </row>
    <row r="45" ht="15" customHeight="1" s="25">
      <c r="A45" s="36" t="n">
        <v>41</v>
      </c>
      <c r="B45" s="38">
        <f>Config!$B$5+(41-1)*7</f>
        <v/>
      </c>
      <c r="C45" s="43" t="n"/>
      <c r="D45" s="43" t="n"/>
      <c r="E45" s="43" t="n"/>
      <c r="F45" s="43" t="n"/>
      <c r="G45" s="43" t="n"/>
      <c r="H45" s="48">
        <f>IFERROR(E45/D45,"")</f>
        <v/>
      </c>
      <c r="I45" s="48">
        <f>IFERROR(SUM(E42:E45)/SUM(D42:D45),"")</f>
        <v/>
      </c>
      <c r="J45" s="43" t="n"/>
      <c r="K45" s="43" t="n"/>
      <c r="L45" s="43" t="n"/>
      <c r="M45" s="43" t="n"/>
      <c r="N45" s="43" t="n"/>
      <c r="O45" s="43" t="n"/>
      <c r="P45" s="43" t="n"/>
      <c r="Q45" s="43" t="n"/>
      <c r="R45" s="49" t="n"/>
      <c r="S45" s="43" t="n"/>
      <c r="T45" s="43" t="n"/>
    </row>
    <row r="46" ht="15" customHeight="1" s="25">
      <c r="A46" s="36" t="n">
        <v>42</v>
      </c>
      <c r="B46" s="38">
        <f>Config!$B$5+(42-1)*7</f>
        <v/>
      </c>
      <c r="C46" s="43" t="n"/>
      <c r="D46" s="43" t="n"/>
      <c r="E46" s="43" t="n"/>
      <c r="F46" s="43" t="n"/>
      <c r="G46" s="43" t="n"/>
      <c r="H46" s="48">
        <f>IFERROR(E46/D46,"")</f>
        <v/>
      </c>
      <c r="I46" s="48">
        <f>IFERROR(SUM(E43:E46)/SUM(D43:D46),"")</f>
        <v/>
      </c>
      <c r="J46" s="43" t="n"/>
      <c r="K46" s="43" t="n"/>
      <c r="L46" s="43" t="n"/>
      <c r="M46" s="43" t="n"/>
      <c r="N46" s="43" t="n"/>
      <c r="O46" s="43" t="n"/>
      <c r="P46" s="43" t="n"/>
      <c r="Q46" s="43" t="n"/>
      <c r="R46" s="49" t="n"/>
      <c r="S46" s="43" t="n"/>
      <c r="T46" s="43" t="n"/>
    </row>
    <row r="47" ht="15" customHeight="1" s="25">
      <c r="A47" s="36" t="n">
        <v>43</v>
      </c>
      <c r="B47" s="38">
        <f>Config!$B$5+(43-1)*7</f>
        <v/>
      </c>
      <c r="C47" s="43" t="n"/>
      <c r="D47" s="43" t="n"/>
      <c r="E47" s="43" t="n"/>
      <c r="F47" s="43" t="n"/>
      <c r="G47" s="43" t="n"/>
      <c r="H47" s="48">
        <f>IFERROR(E47/D47,"")</f>
        <v/>
      </c>
      <c r="I47" s="48">
        <f>IFERROR(SUM(E44:E47)/SUM(D44:D47),"")</f>
        <v/>
      </c>
      <c r="J47" s="43" t="n"/>
      <c r="K47" s="43" t="n"/>
      <c r="L47" s="43" t="n"/>
      <c r="M47" s="43" t="n"/>
      <c r="N47" s="43" t="n"/>
      <c r="O47" s="43" t="n"/>
      <c r="P47" s="43" t="n"/>
      <c r="Q47" s="43" t="n"/>
      <c r="R47" s="49" t="n"/>
      <c r="S47" s="43" t="n"/>
      <c r="T47" s="43" t="n"/>
    </row>
    <row r="48" ht="15" customHeight="1" s="25">
      <c r="A48" s="36" t="n">
        <v>44</v>
      </c>
      <c r="B48" s="38">
        <f>Config!$B$5+(44-1)*7</f>
        <v/>
      </c>
      <c r="C48" s="43" t="n"/>
      <c r="D48" s="43" t="n"/>
      <c r="E48" s="43" t="n"/>
      <c r="F48" s="43" t="n"/>
      <c r="G48" s="43" t="n"/>
      <c r="H48" s="48">
        <f>IFERROR(E48/D48,"")</f>
        <v/>
      </c>
      <c r="I48" s="48">
        <f>IFERROR(SUM(E45:E48)/SUM(D45:D48),"")</f>
        <v/>
      </c>
      <c r="J48" s="43" t="n"/>
      <c r="K48" s="43" t="n"/>
      <c r="L48" s="43" t="n"/>
      <c r="M48" s="43" t="n"/>
      <c r="N48" s="43" t="n"/>
      <c r="O48" s="43" t="n"/>
      <c r="P48" s="43" t="n"/>
      <c r="Q48" s="43" t="n"/>
      <c r="R48" s="49" t="n"/>
      <c r="S48" s="43" t="n"/>
      <c r="T48" s="43" t="n"/>
    </row>
    <row r="49" ht="15" customHeight="1" s="25">
      <c r="A49" s="36" t="n">
        <v>45</v>
      </c>
      <c r="B49" s="38">
        <f>Config!$B$5+(45-1)*7</f>
        <v/>
      </c>
      <c r="C49" s="43" t="n"/>
      <c r="D49" s="43" t="n"/>
      <c r="E49" s="43" t="n"/>
      <c r="F49" s="43" t="n"/>
      <c r="G49" s="43" t="n"/>
      <c r="H49" s="48">
        <f>IFERROR(E49/D49,"")</f>
        <v/>
      </c>
      <c r="I49" s="48">
        <f>IFERROR(SUM(E46:E49)/SUM(D46:D49),"")</f>
        <v/>
      </c>
      <c r="J49" s="43" t="n"/>
      <c r="K49" s="43" t="n"/>
      <c r="L49" s="43" t="n"/>
      <c r="M49" s="43" t="n"/>
      <c r="N49" s="43" t="n"/>
      <c r="O49" s="43" t="n"/>
      <c r="P49" s="43" t="n"/>
      <c r="Q49" s="43" t="n"/>
      <c r="R49" s="49" t="n"/>
      <c r="S49" s="43" t="n"/>
      <c r="T49" s="43" t="n"/>
    </row>
    <row r="50" ht="15" customHeight="1" s="25">
      <c r="A50" s="36" t="n">
        <v>46</v>
      </c>
      <c r="B50" s="38">
        <f>Config!$B$5+(46-1)*7</f>
        <v/>
      </c>
      <c r="C50" s="43" t="n"/>
      <c r="D50" s="43" t="n"/>
      <c r="E50" s="43" t="n"/>
      <c r="F50" s="43" t="n"/>
      <c r="G50" s="43" t="n"/>
      <c r="H50" s="48">
        <f>IFERROR(E50/D50,"")</f>
        <v/>
      </c>
      <c r="I50" s="48">
        <f>IFERROR(SUM(E47:E50)/SUM(D47:D50),"")</f>
        <v/>
      </c>
      <c r="J50" s="43" t="n"/>
      <c r="K50" s="43" t="n"/>
      <c r="L50" s="43" t="n"/>
      <c r="M50" s="43" t="n"/>
      <c r="N50" s="43" t="n"/>
      <c r="O50" s="43" t="n"/>
      <c r="P50" s="43" t="n"/>
      <c r="Q50" s="43" t="n"/>
      <c r="R50" s="49" t="n"/>
      <c r="S50" s="43" t="n"/>
      <c r="T50" s="43" t="n"/>
    </row>
    <row r="51" ht="15" customHeight="1" s="25">
      <c r="A51" s="36" t="n">
        <v>47</v>
      </c>
      <c r="B51" s="38">
        <f>Config!$B$5+(47-1)*7</f>
        <v/>
      </c>
      <c r="C51" s="43" t="n"/>
      <c r="D51" s="43" t="n"/>
      <c r="E51" s="43" t="n"/>
      <c r="F51" s="43" t="n"/>
      <c r="G51" s="43" t="n"/>
      <c r="H51" s="48">
        <f>IFERROR(E51/D51,"")</f>
        <v/>
      </c>
      <c r="I51" s="48">
        <f>IFERROR(SUM(E48:E51)/SUM(D48:D51),"")</f>
        <v/>
      </c>
      <c r="J51" s="43" t="n"/>
      <c r="K51" s="43" t="n"/>
      <c r="L51" s="43" t="n"/>
      <c r="M51" s="43" t="n"/>
      <c r="N51" s="43" t="n"/>
      <c r="O51" s="43" t="n"/>
      <c r="P51" s="43" t="n"/>
      <c r="Q51" s="43" t="n"/>
      <c r="R51" s="49" t="n"/>
      <c r="S51" s="43" t="n"/>
      <c r="T51" s="43" t="n"/>
    </row>
    <row r="52" ht="15" customHeight="1" s="25">
      <c r="A52" s="36" t="n">
        <v>48</v>
      </c>
      <c r="B52" s="38">
        <f>Config!$B$5+(48-1)*7</f>
        <v/>
      </c>
      <c r="C52" s="43" t="n"/>
      <c r="D52" s="43" t="n"/>
      <c r="E52" s="43" t="n"/>
      <c r="F52" s="43" t="n"/>
      <c r="G52" s="43" t="n"/>
      <c r="H52" s="48">
        <f>IFERROR(E52/D52,"")</f>
        <v/>
      </c>
      <c r="I52" s="48">
        <f>IFERROR(SUM(E49:E52)/SUM(D49:D52),"")</f>
        <v/>
      </c>
      <c r="J52" s="43" t="n"/>
      <c r="K52" s="43" t="n"/>
      <c r="L52" s="43" t="n"/>
      <c r="M52" s="43" t="n"/>
      <c r="N52" s="43" t="n"/>
      <c r="O52" s="43" t="n"/>
      <c r="P52" s="43" t="n"/>
      <c r="Q52" s="43" t="n"/>
      <c r="R52" s="49" t="n"/>
      <c r="S52" s="43" t="n"/>
      <c r="T52" s="43" t="n"/>
    </row>
    <row r="53" ht="15" customHeight="1" s="25">
      <c r="A53" s="36" t="n">
        <v>49</v>
      </c>
      <c r="B53" s="38">
        <f>Config!$B$5+(49-1)*7</f>
        <v/>
      </c>
      <c r="C53" s="43" t="n"/>
      <c r="D53" s="43" t="n"/>
      <c r="E53" s="43" t="n"/>
      <c r="F53" s="43" t="n"/>
      <c r="G53" s="43" t="n"/>
      <c r="H53" s="48">
        <f>IFERROR(E53/D53,"")</f>
        <v/>
      </c>
      <c r="I53" s="48">
        <f>IFERROR(SUM(E50:E53)/SUM(D50:D53),"")</f>
        <v/>
      </c>
      <c r="J53" s="43" t="n"/>
      <c r="K53" s="43" t="n"/>
      <c r="L53" s="43" t="n"/>
      <c r="M53" s="43" t="n"/>
      <c r="N53" s="43" t="n"/>
      <c r="O53" s="43" t="n"/>
      <c r="P53" s="43" t="n"/>
      <c r="Q53" s="43" t="n"/>
      <c r="R53" s="49" t="n"/>
      <c r="S53" s="43" t="n"/>
      <c r="T53" s="43" t="n"/>
    </row>
    <row r="54" ht="15" customHeight="1" s="25">
      <c r="A54" s="36" t="n">
        <v>50</v>
      </c>
      <c r="B54" s="38">
        <f>Config!$B$5+(50-1)*7</f>
        <v/>
      </c>
      <c r="C54" s="43" t="n"/>
      <c r="D54" s="43" t="n"/>
      <c r="E54" s="43" t="n"/>
      <c r="F54" s="43" t="n"/>
      <c r="G54" s="43" t="n"/>
      <c r="H54" s="48">
        <f>IFERROR(E54/D54,"")</f>
        <v/>
      </c>
      <c r="I54" s="48">
        <f>IFERROR(SUM(E51:E54)/SUM(D51:D54),"")</f>
        <v/>
      </c>
      <c r="J54" s="43" t="n"/>
      <c r="K54" s="43" t="n"/>
      <c r="L54" s="43" t="n"/>
      <c r="M54" s="43" t="n"/>
      <c r="N54" s="43" t="n"/>
      <c r="O54" s="43" t="n"/>
      <c r="P54" s="43" t="n"/>
      <c r="Q54" s="43" t="n"/>
      <c r="R54" s="49" t="n"/>
      <c r="S54" s="43" t="n"/>
      <c r="T54" s="43" t="n"/>
    </row>
    <row r="55" ht="15" customHeight="1" s="25">
      <c r="A55" s="36" t="n">
        <v>51</v>
      </c>
      <c r="B55" s="38">
        <f>Config!$B$5+(51-1)*7</f>
        <v/>
      </c>
      <c r="C55" s="43" t="n"/>
      <c r="D55" s="43" t="n"/>
      <c r="E55" s="43" t="n"/>
      <c r="F55" s="43" t="n"/>
      <c r="G55" s="43" t="n"/>
      <c r="H55" s="48">
        <f>IFERROR(E55/D55,"")</f>
        <v/>
      </c>
      <c r="I55" s="48">
        <f>IFERROR(SUM(E52:E55)/SUM(D52:D55),"")</f>
        <v/>
      </c>
      <c r="J55" s="43" t="n"/>
      <c r="K55" s="43" t="n"/>
      <c r="L55" s="43" t="n"/>
      <c r="M55" s="43" t="n"/>
      <c r="N55" s="43" t="n"/>
      <c r="O55" s="43" t="n"/>
      <c r="P55" s="43" t="n"/>
      <c r="Q55" s="43" t="n"/>
      <c r="R55" s="49" t="n"/>
      <c r="S55" s="43" t="n"/>
      <c r="T55" s="43" t="n"/>
    </row>
    <row r="56" ht="15" customHeight="1" s="25">
      <c r="A56" s="36" t="n">
        <v>52</v>
      </c>
      <c r="B56" s="38">
        <f>Config!$B$5+(52-1)*7</f>
        <v/>
      </c>
      <c r="C56" s="43" t="n"/>
      <c r="D56" s="43" t="n"/>
      <c r="E56" s="43" t="n"/>
      <c r="F56" s="43" t="n"/>
      <c r="G56" s="43" t="n"/>
      <c r="H56" s="48">
        <f>IFERROR(E56/D56,"")</f>
        <v/>
      </c>
      <c r="I56" s="48">
        <f>IFERROR(SUM(E53:E56)/SUM(D53:D56),"")</f>
        <v/>
      </c>
      <c r="J56" s="43" t="n"/>
      <c r="K56" s="43" t="n"/>
      <c r="L56" s="43" t="n"/>
      <c r="M56" s="43" t="n"/>
      <c r="N56" s="43" t="n"/>
      <c r="O56" s="43" t="n"/>
      <c r="P56" s="43" t="n"/>
      <c r="Q56" s="43" t="n"/>
      <c r="R56" s="49" t="n"/>
      <c r="S56" s="43" t="n"/>
      <c r="T56" s="43" t="n"/>
    </row>
    <row r="57" ht="15" customHeight="1" s="25">
      <c r="A57" s="36" t="n">
        <v>53</v>
      </c>
      <c r="B57" s="38">
        <f>Config!$B$5+(53-1)*7</f>
        <v/>
      </c>
      <c r="C57" s="43" t="n"/>
      <c r="D57" s="43" t="n"/>
      <c r="E57" s="43" t="n"/>
      <c r="F57" s="43" t="n"/>
      <c r="G57" s="43" t="n"/>
      <c r="H57" s="48">
        <f>IFERROR(E57/D57,"")</f>
        <v/>
      </c>
      <c r="I57" s="48">
        <f>IFERROR(SUM(E54:E57)/SUM(D54:D57),"")</f>
        <v/>
      </c>
      <c r="J57" s="43" t="n"/>
      <c r="K57" s="43" t="n"/>
      <c r="L57" s="43" t="n"/>
      <c r="M57" s="43" t="n"/>
      <c r="N57" s="43" t="n"/>
      <c r="O57" s="43" t="n"/>
      <c r="P57" s="43" t="n"/>
      <c r="Q57" s="43" t="n"/>
      <c r="R57" s="49" t="n"/>
      <c r="S57" s="43" t="n"/>
      <c r="T57" s="43" t="n"/>
    </row>
    <row r="58" ht="15" customHeight="1" s="25">
      <c r="A58" s="36" t="n">
        <v>54</v>
      </c>
      <c r="B58" s="38">
        <f>Config!$B$5+(54-1)*7</f>
        <v/>
      </c>
      <c r="C58" s="43" t="n"/>
      <c r="D58" s="43" t="n"/>
      <c r="E58" s="43" t="n"/>
      <c r="F58" s="43" t="n"/>
      <c r="G58" s="43" t="n"/>
      <c r="H58" s="48">
        <f>IFERROR(E58/D58,"")</f>
        <v/>
      </c>
      <c r="I58" s="48">
        <f>IFERROR(SUM(E55:E58)/SUM(D55:D58),"")</f>
        <v/>
      </c>
      <c r="J58" s="43" t="n"/>
      <c r="K58" s="43" t="n"/>
      <c r="L58" s="43" t="n"/>
      <c r="M58" s="43" t="n"/>
      <c r="N58" s="43" t="n"/>
      <c r="O58" s="43" t="n"/>
      <c r="P58" s="43" t="n"/>
      <c r="Q58" s="43" t="n"/>
      <c r="R58" s="49" t="n"/>
      <c r="S58" s="43" t="n"/>
      <c r="T58" s="43" t="n"/>
    </row>
    <row r="59" ht="15" customHeight="1" s="25">
      <c r="A59" s="36" t="n">
        <v>55</v>
      </c>
      <c r="B59" s="38">
        <f>Config!$B$5+(55-1)*7</f>
        <v/>
      </c>
      <c r="C59" s="43" t="n"/>
      <c r="D59" s="43" t="n"/>
      <c r="E59" s="43" t="n"/>
      <c r="F59" s="43" t="n"/>
      <c r="G59" s="43" t="n"/>
      <c r="H59" s="48">
        <f>IFERROR(E59/D59,"")</f>
        <v/>
      </c>
      <c r="I59" s="48">
        <f>IFERROR(SUM(E56:E59)/SUM(D56:D59),"")</f>
        <v/>
      </c>
      <c r="J59" s="43" t="n"/>
      <c r="K59" s="43" t="n"/>
      <c r="L59" s="43" t="n"/>
      <c r="M59" s="43" t="n"/>
      <c r="N59" s="43" t="n"/>
      <c r="O59" s="43" t="n"/>
      <c r="P59" s="43" t="n"/>
      <c r="Q59" s="43" t="n"/>
      <c r="R59" s="49" t="n"/>
      <c r="S59" s="43" t="n"/>
      <c r="T59" s="43" t="n"/>
    </row>
    <row r="60" ht="15" customHeight="1" s="25">
      <c r="A60" s="36" t="n">
        <v>56</v>
      </c>
      <c r="B60" s="38">
        <f>Config!$B$5+(56-1)*7</f>
        <v/>
      </c>
      <c r="C60" s="43" t="n"/>
      <c r="D60" s="43" t="n"/>
      <c r="E60" s="43" t="n"/>
      <c r="F60" s="43" t="n"/>
      <c r="G60" s="43" t="n"/>
      <c r="H60" s="48">
        <f>IFERROR(E60/D60,"")</f>
        <v/>
      </c>
      <c r="I60" s="48">
        <f>IFERROR(SUM(E57:E60)/SUM(D57:D60),"")</f>
        <v/>
      </c>
      <c r="J60" s="43" t="n"/>
      <c r="K60" s="43" t="n"/>
      <c r="L60" s="43" t="n"/>
      <c r="M60" s="43" t="n"/>
      <c r="N60" s="43" t="n"/>
      <c r="O60" s="43" t="n"/>
      <c r="P60" s="43" t="n"/>
      <c r="Q60" s="43" t="n"/>
      <c r="R60" s="49" t="n"/>
      <c r="S60" s="43" t="n"/>
      <c r="T60" s="43" t="n"/>
    </row>
    <row r="61" ht="15" customHeight="1" s="25">
      <c r="A61" s="36" t="n">
        <v>57</v>
      </c>
      <c r="B61" s="38">
        <f>Config!$B$5+(57-1)*7</f>
        <v/>
      </c>
      <c r="C61" s="43" t="n"/>
      <c r="D61" s="43" t="n"/>
      <c r="E61" s="43" t="n"/>
      <c r="F61" s="43" t="n"/>
      <c r="G61" s="43" t="n"/>
      <c r="H61" s="48">
        <f>IFERROR(E61/D61,"")</f>
        <v/>
      </c>
      <c r="I61" s="48">
        <f>IFERROR(SUM(E58:E61)/SUM(D58:D61),"")</f>
        <v/>
      </c>
      <c r="J61" s="43" t="n"/>
      <c r="K61" s="43" t="n"/>
      <c r="L61" s="43" t="n"/>
      <c r="M61" s="43" t="n"/>
      <c r="N61" s="43" t="n"/>
      <c r="O61" s="43" t="n"/>
      <c r="P61" s="43" t="n"/>
      <c r="Q61" s="43" t="n"/>
      <c r="R61" s="49" t="n"/>
      <c r="S61" s="43" t="n"/>
      <c r="T61" s="43" t="n"/>
    </row>
    <row r="62" ht="15" customHeight="1" s="25">
      <c r="A62" s="36" t="n">
        <v>58</v>
      </c>
      <c r="B62" s="38">
        <f>Config!$B$5+(58-1)*7</f>
        <v/>
      </c>
      <c r="C62" s="43" t="n"/>
      <c r="D62" s="43" t="n"/>
      <c r="E62" s="43" t="n"/>
      <c r="F62" s="43" t="n"/>
      <c r="G62" s="43" t="n"/>
      <c r="H62" s="48">
        <f>IFERROR(E62/D62,"")</f>
        <v/>
      </c>
      <c r="I62" s="48">
        <f>IFERROR(SUM(E59:E62)/SUM(D59:D62),"")</f>
        <v/>
      </c>
      <c r="J62" s="43" t="n"/>
      <c r="K62" s="43" t="n"/>
      <c r="L62" s="43" t="n"/>
      <c r="M62" s="43" t="n"/>
      <c r="N62" s="43" t="n"/>
      <c r="O62" s="43" t="n"/>
      <c r="P62" s="43" t="n"/>
      <c r="Q62" s="43" t="n"/>
      <c r="R62" s="49" t="n"/>
      <c r="S62" s="43" t="n"/>
      <c r="T62" s="43" t="n"/>
    </row>
    <row r="63" ht="15" customHeight="1" s="25">
      <c r="A63" s="36" t="n">
        <v>59</v>
      </c>
      <c r="B63" s="38">
        <f>Config!$B$5+(59-1)*7</f>
        <v/>
      </c>
      <c r="C63" s="43" t="n"/>
      <c r="D63" s="43" t="n"/>
      <c r="E63" s="43" t="n"/>
      <c r="F63" s="43" t="n"/>
      <c r="G63" s="43" t="n"/>
      <c r="H63" s="48">
        <f>IFERROR(E63/D63,"")</f>
        <v/>
      </c>
      <c r="I63" s="48">
        <f>IFERROR(SUM(E60:E63)/SUM(D60:D63),"")</f>
        <v/>
      </c>
      <c r="J63" s="43" t="n"/>
      <c r="K63" s="43" t="n"/>
      <c r="L63" s="43" t="n"/>
      <c r="M63" s="43" t="n"/>
      <c r="N63" s="43" t="n"/>
      <c r="O63" s="43" t="n"/>
      <c r="P63" s="43" t="n"/>
      <c r="Q63" s="43" t="n"/>
      <c r="R63" s="49" t="n"/>
      <c r="S63" s="43" t="n"/>
      <c r="T63" s="43" t="n"/>
    </row>
    <row r="64" ht="15" customHeight="1" s="25">
      <c r="A64" s="36" t="n">
        <v>60</v>
      </c>
      <c r="B64" s="38">
        <f>Config!$B$5+(60-1)*7</f>
        <v/>
      </c>
      <c r="C64" s="43" t="n"/>
      <c r="D64" s="43" t="n"/>
      <c r="E64" s="43" t="n"/>
      <c r="F64" s="43" t="n"/>
      <c r="G64" s="43" t="n"/>
      <c r="H64" s="48">
        <f>IFERROR(E64/D64,"")</f>
        <v/>
      </c>
      <c r="I64" s="48">
        <f>IFERROR(SUM(E61:E64)/SUM(D61:D64),"")</f>
        <v/>
      </c>
      <c r="J64" s="43" t="n"/>
      <c r="K64" s="43" t="n"/>
      <c r="L64" s="43" t="n"/>
      <c r="M64" s="43" t="n"/>
      <c r="N64" s="43" t="n"/>
      <c r="O64" s="43" t="n"/>
      <c r="P64" s="43" t="n"/>
      <c r="Q64" s="43" t="n"/>
      <c r="R64" s="49" t="n"/>
      <c r="S64" s="43" t="n"/>
      <c r="T64" s="43" t="n"/>
    </row>
    <row r="65" ht="15" customHeight="1" s="25">
      <c r="A65" s="36" t="n">
        <v>61</v>
      </c>
      <c r="B65" s="38">
        <f>Config!$B$5+(61-1)*7</f>
        <v/>
      </c>
      <c r="C65" s="43" t="n"/>
      <c r="D65" s="43" t="n"/>
      <c r="E65" s="43" t="n"/>
      <c r="F65" s="43" t="n"/>
      <c r="G65" s="43" t="n"/>
      <c r="H65" s="48">
        <f>IFERROR(E65/D65,"")</f>
        <v/>
      </c>
      <c r="I65" s="48">
        <f>IFERROR(SUM(E62:E65)/SUM(D62:D65),"")</f>
        <v/>
      </c>
      <c r="J65" s="43" t="n"/>
      <c r="K65" s="43" t="n"/>
      <c r="L65" s="43" t="n"/>
      <c r="M65" s="43" t="n"/>
      <c r="N65" s="43" t="n"/>
      <c r="O65" s="43" t="n"/>
      <c r="P65" s="43" t="n"/>
      <c r="Q65" s="43" t="n"/>
      <c r="R65" s="49" t="n"/>
      <c r="S65" s="43" t="n"/>
      <c r="T65" s="43" t="n"/>
    </row>
    <row r="66" ht="15" customHeight="1" s="25">
      <c r="A66" s="36" t="n">
        <v>62</v>
      </c>
      <c r="B66" s="38">
        <f>Config!$B$5+(62-1)*7</f>
        <v/>
      </c>
      <c r="C66" s="43" t="n"/>
      <c r="D66" s="43" t="n"/>
      <c r="E66" s="43" t="n"/>
      <c r="F66" s="43" t="n"/>
      <c r="G66" s="43" t="n"/>
      <c r="H66" s="48">
        <f>IFERROR(E66/D66,"")</f>
        <v/>
      </c>
      <c r="I66" s="48">
        <f>IFERROR(SUM(E63:E66)/SUM(D63:D66),"")</f>
        <v/>
      </c>
      <c r="J66" s="43" t="n"/>
      <c r="K66" s="43" t="n"/>
      <c r="L66" s="43" t="n"/>
      <c r="M66" s="43" t="n"/>
      <c r="N66" s="43" t="n"/>
      <c r="O66" s="43" t="n"/>
      <c r="P66" s="43" t="n"/>
      <c r="Q66" s="43" t="n"/>
      <c r="R66" s="49" t="n"/>
      <c r="S66" s="43" t="n"/>
      <c r="T66" s="43" t="n"/>
    </row>
  </sheetData>
  <dataValidations count="1">
    <dataValidation sqref="J5:J66" showDropDown="0" showInputMessage="0" showErrorMessage="0" allowBlank="1" type="list" errorStyle="stop" operator="between">
      <formula1>"On track,At risk,Passed,Failed"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24" min="1" max="1"/>
    <col width="88" customWidth="1" style="24" min="2" max="2"/>
  </cols>
  <sheetData>
    <row r="1" ht="17.35" customHeight="1" s="25">
      <c r="A1" s="26" t="inlineStr">
        <is>
          <t>Escalation Triggers</t>
        </is>
      </c>
    </row>
    <row r="2" ht="15" customHeight="1" s="25">
      <c r="A2" s="27" t="inlineStr">
        <is>
          <t>Conditions that require a decision rather than another week of the same. From 13_weekly_review_protocol.md.</t>
        </is>
      </c>
    </row>
    <row r="4" ht="15" customHeight="1" s="25">
      <c r="A4" s="28" t="inlineStr">
        <is>
          <t>Trigger</t>
        </is>
      </c>
      <c r="B4" s="28" t="inlineStr">
        <is>
          <t>Action</t>
        </is>
      </c>
    </row>
    <row r="5" ht="15" customHeight="1" s="25">
      <c r="A5" s="37" t="inlineStr">
        <is>
          <t>Rolling completion below 60% for three weeks</t>
        </is>
      </c>
      <c r="B5" s="36" t="inlineStr">
        <is>
          <t>Re-plan. Reduce MVP scope or add capacity — do not simply extend the end date.</t>
        </is>
      </c>
    </row>
    <row r="6" ht="15" customHeight="1" s="25">
      <c r="A6" s="37" t="inlineStr">
        <is>
          <t>The same card carried three times</t>
        </is>
      </c>
      <c r="B6" s="36" t="inlineStr">
        <is>
          <t>It is scoped wrong or blocked on something unrecognized. Stop and decompose it.</t>
        </is>
      </c>
    </row>
    <row r="7" ht="15" customHeight="1" s="25">
      <c r="A7" s="37" t="inlineStr">
        <is>
          <t>A gate criterion failing two weeks running</t>
        </is>
      </c>
      <c r="B7" s="36" t="inlineStr">
        <is>
          <t>Stop the phase. Fix before proceeding.</t>
        </is>
      </c>
    </row>
    <row r="8" ht="15" customHeight="1" s="25">
      <c r="A8" s="37" t="inlineStr">
        <is>
          <t>Critical scanner findings open beyond seven days</t>
        </is>
      </c>
      <c r="B8" s="36" t="inlineStr">
        <is>
          <t>Stop feature work until remediated.</t>
        </is>
      </c>
    </row>
    <row r="9" ht="15" customHeight="1" s="25">
      <c r="A9" s="37" t="inlineStr">
        <is>
          <t>Any tenant-isolation or concurrency test skipped</t>
        </is>
      </c>
      <c r="B9" s="36" t="inlineStr">
        <is>
          <t>STOP IMMEDIATELY. These are never optional.</t>
        </is>
      </c>
    </row>
    <row r="10" ht="15" customHeight="1" s="25">
      <c r="A10" s="37" t="inlineStr">
        <is>
          <t>Actual effort routinely exceeding planned by 50%+</t>
        </is>
      </c>
      <c r="B10" s="36" t="inlineStr">
        <is>
          <t>The one-day card assumption is wrong for this phase; re-scope the remaining cards.</t>
        </is>
      </c>
    </row>
    <row r="11" ht="15" customHeight="1" s="25">
      <c r="A11" s="37" t="inlineStr">
        <is>
          <t>Deposit reconciliation mismatch observed</t>
        </is>
      </c>
      <c r="B11" s="36" t="inlineStr">
        <is>
          <t>Treat as critical (T3). Halt payment-related work until root-caused.</t>
        </is>
      </c>
    </row>
    <row r="12" ht="15" customHeight="1" s="25">
      <c r="A12" s="37" t="inlineStr">
        <is>
          <t>A production reservation overlap observed</t>
        </is>
      </c>
      <c r="B12" s="36" t="inlineStr">
        <is>
          <t>Treat as critical (T2). Halt and root-cause before any further release.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2026-09-07T23:16:57Z</dcterms:created>
  <dcterms:modified xmlns:dcterms="http://purl.org/dc/terms/" xmlns:xsi="http://www.w3.org/2001/XMLSchema-instance" xsi:type="dcterms:W3CDTF">2026-09-08T00:02:43Z</dcterms:modified>
  <cp:revision>0</cp:revision>
</cp:coreProperties>
</file>