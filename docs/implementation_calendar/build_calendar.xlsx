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Relationship Type="http://schemas.openxmlformats.org/officeDocument/2006/relationships/hyperlink" Target="../cards/D177.md" TargetMode="External" Id="rId353"/><Relationship Type="http://schemas.openxmlformats.org/officeDocument/2006/relationships/hyperlink" Target="../logs/D177.md" TargetMode="External" Id="rId354"/><Relationship Type="http://schemas.openxmlformats.org/officeDocument/2006/relationships/hyperlink" Target="../cards/D178.md" TargetMode="External" Id="rId355"/><Relationship Type="http://schemas.openxmlformats.org/officeDocument/2006/relationships/hyperlink" Target="../logs/D178.md" TargetMode="External" Id="rId356"/><Relationship Type="http://schemas.openxmlformats.org/officeDocument/2006/relationships/hyperlink" Target="../cards/D179.md" TargetMode="External" Id="rId357"/><Relationship Type="http://schemas.openxmlformats.org/officeDocument/2006/relationships/hyperlink" Target="../logs/D179.md" TargetMode="External" Id="rId358"/><Relationship Type="http://schemas.openxmlformats.org/officeDocument/2006/relationships/hyperlink" Target="../cards/D180.md" TargetMode="External" Id="rId359"/><Relationship Type="http://schemas.openxmlformats.org/officeDocument/2006/relationships/hyperlink" Target="../logs/D180.md" TargetMode="External" Id="rId360"/><Relationship Type="http://schemas.openxmlformats.org/officeDocument/2006/relationships/hyperlink" Target="../cards/D181.md" TargetMode="External" Id="rId361"/><Relationship Type="http://schemas.openxmlformats.org/officeDocument/2006/relationships/hyperlink" Target="../logs/D181.md" TargetMode="External" Id="rId362"/><Relationship Type="http://schemas.openxmlformats.org/officeDocument/2006/relationships/hyperlink" Target="../cards/D182.md" TargetMode="External" Id="rId363"/><Relationship Type="http://schemas.openxmlformats.org/officeDocument/2006/relationships/hyperlink" Target="../logs/D182.md" TargetMode="External" Id="rId364"/><Relationship Type="http://schemas.openxmlformats.org/officeDocument/2006/relationships/hyperlink" Target="../cards/D183.md" TargetMode="External" Id="rId365"/><Relationship Type="http://schemas.openxmlformats.org/officeDocument/2006/relationships/hyperlink" Target="../logs/D183.md" TargetMode="External" Id="rId366"/><Relationship Type="http://schemas.openxmlformats.org/officeDocument/2006/relationships/hyperlink" Target="../cards/D184.md" TargetMode="External" Id="rId367"/><Relationship Type="http://schemas.openxmlformats.org/officeDocument/2006/relationships/hyperlink" Target="../logs/D184.md" TargetMode="External" Id="rId368"/><Relationship Type="http://schemas.openxmlformats.org/officeDocument/2006/relationships/hyperlink" Target="../cards/D185.md" TargetMode="External" Id="rId369"/><Relationship Type="http://schemas.openxmlformats.org/officeDocument/2006/relationships/hyperlink" Target="../logs/D185.md" TargetMode="External" Id="rId370"/><Relationship Type="http://schemas.openxmlformats.org/officeDocument/2006/relationships/hyperlink" Target="../cards/D186.md" TargetMode="External" Id="rId371"/><Relationship Type="http://schemas.openxmlformats.org/officeDocument/2006/relationships/hyperlink" Target="../logs/D186.md" TargetMode="External" Id="rId372"/><Relationship Type="http://schemas.openxmlformats.org/officeDocument/2006/relationships/hyperlink" Target="../cards/D187.md" TargetMode="External" Id="rId373"/><Relationship Type="http://schemas.openxmlformats.org/officeDocument/2006/relationships/hyperlink" Target="../logs/D187.md" TargetMode="External" Id="rId374"/><Relationship Type="http://schemas.openxmlformats.org/officeDocument/2006/relationships/hyperlink" Target="../cards/D188.md" TargetMode="External" Id="rId375"/><Relationship Type="http://schemas.openxmlformats.org/officeDocument/2006/relationships/hyperlink" Target="../logs/D188.md" TargetMode="External" Id="rId376"/><Relationship Type="http://schemas.openxmlformats.org/officeDocument/2006/relationships/hyperlink" Target="../cards/D189.md" TargetMode="External" Id="rId377"/><Relationship Type="http://schemas.openxmlformats.org/officeDocument/2006/relationships/hyperlink" Target="../logs/D189.md" TargetMode="External" Id="rId378"/><Relationship Type="http://schemas.openxmlformats.org/officeDocument/2006/relationships/hyperlink" Target="../cards/D190.md" TargetMode="External" Id="rId379"/><Relationship Type="http://schemas.openxmlformats.org/officeDocument/2006/relationships/hyperlink" Target="../logs/D190.md" TargetMode="External" Id="rId380"/><Relationship Type="http://schemas.openxmlformats.org/officeDocument/2006/relationships/hyperlink" Target="../cards/D191.md" TargetMode="External" Id="rId381"/><Relationship Type="http://schemas.openxmlformats.org/officeDocument/2006/relationships/hyperlink" Target="../logs/D191.md" TargetMode="External" Id="rId382"/><Relationship Type="http://schemas.openxmlformats.org/officeDocument/2006/relationships/hyperlink" Target="../cards/D192.md" TargetMode="External" Id="rId383"/><Relationship Type="http://schemas.openxmlformats.org/officeDocument/2006/relationships/hyperlink" Target="../logs/D192.md" TargetMode="External" Id="rId384"/><Relationship Type="http://schemas.openxmlformats.org/officeDocument/2006/relationships/hyperlink" Target="../cards/D193.md" TargetMode="External" Id="rId385"/><Relationship Type="http://schemas.openxmlformats.org/officeDocument/2006/relationships/hyperlink" Target="../logs/D193.md" TargetMode="External" Id="rId386"/><Relationship Type="http://schemas.openxmlformats.org/officeDocument/2006/relationships/hyperlink" Target="../cards/D194.md" TargetMode="External" Id="rId387"/><Relationship Type="http://schemas.openxmlformats.org/officeDocument/2006/relationships/hyperlink" Target="../logs/D194.md" TargetMode="External" Id="rId388"/><Relationship Type="http://schemas.openxmlformats.org/officeDocument/2006/relationships/hyperlink" Target="../cards/D195.md" TargetMode="External" Id="rId389"/><Relationship Type="http://schemas.openxmlformats.org/officeDocument/2006/relationships/hyperlink" Target="../logs/D195.md" TargetMode="External" Id="rId390"/><Relationship Type="http://schemas.openxmlformats.org/officeDocument/2006/relationships/hyperlink" Target="../cards/D196.md" TargetMode="External" Id="rId391"/><Relationship Type="http://schemas.openxmlformats.org/officeDocument/2006/relationships/hyperlink" Target="../logs/D196.md" TargetMode="External" Id="rId392"/><Relationship Type="http://schemas.openxmlformats.org/officeDocument/2006/relationships/hyperlink" Target="../cards/D197.md" TargetMode="External" Id="rId393"/><Relationship Type="http://schemas.openxmlformats.org/officeDocument/2006/relationships/hyperlink" Target="../logs/D197.md" TargetMode="External" Id="rId39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  <col width="22" customWidth="1" style="25" min="15" max="15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s="24" t="inlineStr">
        <is>
          <t>Card (prompt)</t>
        </is>
      </c>
      <c r="N4" s="24" t="inlineStr">
        <is>
          <t>Log</t>
        </is>
      </c>
      <c r="O4" s="24" t="inlineStr">
        <is>
          <t>Est. Duration (AI session)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Done</t>
        </is>
      </c>
      <c r="K5" s="43" t="n"/>
      <c r="L5" s="43" t="inlineStr">
        <is>
          <t>[log](docs/logs/D001.md)</t>
        </is>
      </c>
      <c r="M5" s="44" t="inlineStr">
        <is>
          <t>D001</t>
        </is>
      </c>
      <c r="N5" s="44" t="inlineStr">
        <is>
          <t>D001</t>
        </is>
      </c>
      <c r="O5" s="24" t="inlineStr">
        <is>
          <t>1.0h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Done</t>
        </is>
      </c>
      <c r="K6" s="43" t="n"/>
      <c r="L6" s="43" t="inlineStr">
        <is>
          <t>[log](docs/logs/D002.md)</t>
        </is>
      </c>
      <c r="M6" s="44" t="inlineStr">
        <is>
          <t>D002</t>
        </is>
      </c>
      <c r="N6" s="44" t="inlineStr">
        <is>
          <t>D002</t>
        </is>
      </c>
      <c r="O6" s="24" t="inlineStr">
        <is>
          <t>1.0h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Done</t>
        </is>
      </c>
      <c r="K7" s="43" t="n"/>
      <c r="L7" s="43" t="inlineStr">
        <is>
          <t>[log](docs/logs/D003.md)</t>
        </is>
      </c>
      <c r="M7" s="44" t="inlineStr">
        <is>
          <t>D003</t>
        </is>
      </c>
      <c r="N7" s="44" t="inlineStr">
        <is>
          <t>D003</t>
        </is>
      </c>
      <c r="O7" s="24" t="inlineStr">
        <is>
          <t>1.0h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Done</t>
        </is>
      </c>
      <c r="K8" s="43" t="n"/>
      <c r="L8" s="43" t="inlineStr">
        <is>
          <t>[log](docs/logs/D004.md)</t>
        </is>
      </c>
      <c r="M8" s="44" t="inlineStr">
        <is>
          <t>D004</t>
        </is>
      </c>
      <c r="N8" s="44" t="inlineStr">
        <is>
          <t>D004</t>
        </is>
      </c>
      <c r="O8" s="24" t="inlineStr">
        <is>
          <t>1.0h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Done</t>
        </is>
      </c>
      <c r="K9" s="43" t="n"/>
      <c r="L9" s="43" t="inlineStr">
        <is>
          <t>[log](docs/logs/D005.md)</t>
        </is>
      </c>
      <c r="M9" s="44" t="inlineStr">
        <is>
          <t>D005</t>
        </is>
      </c>
      <c r="N9" s="44" t="inlineStr">
        <is>
          <t>D005</t>
        </is>
      </c>
      <c r="O9" s="24" t="inlineStr">
        <is>
          <t>1.0h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Done</t>
        </is>
      </c>
      <c r="K10" s="43" t="n"/>
      <c r="L10" s="43" t="inlineStr">
        <is>
          <t>[log](docs/logs/D006.md)</t>
        </is>
      </c>
      <c r="M10" s="44" t="inlineStr">
        <is>
          <t>D006</t>
        </is>
      </c>
      <c r="N10" s="44" t="inlineStr">
        <is>
          <t>D006</t>
        </is>
      </c>
      <c r="O10" s="24" t="inlineStr">
        <is>
          <t>1.0h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Done</t>
        </is>
      </c>
      <c r="K11" s="43" t="n"/>
      <c r="L11" s="43" t="inlineStr">
        <is>
          <t>[log](docs/logs/D007.md)</t>
        </is>
      </c>
      <c r="M11" s="44" t="inlineStr">
        <is>
          <t>D007</t>
        </is>
      </c>
      <c r="N11" s="44" t="inlineStr">
        <is>
          <t>D007</t>
        </is>
      </c>
      <c r="O11" s="24" t="inlineStr">
        <is>
          <t>1.0h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Done</t>
        </is>
      </c>
      <c r="K12" s="43" t="n"/>
      <c r="L12" s="43" t="inlineStr">
        <is>
          <t>[log](docs/logs/D008.md)</t>
        </is>
      </c>
      <c r="M12" s="44" t="inlineStr">
        <is>
          <t>D008</t>
        </is>
      </c>
      <c r="N12" s="44" t="inlineStr">
        <is>
          <t>D008</t>
        </is>
      </c>
      <c r="O12" s="24" t="inlineStr">
        <is>
          <t>1.0h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  <c r="O13" s="24" t="inlineStr">
        <is>
          <t>1.0h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Native AuthProvider implementation</t>
        </is>
      </c>
      <c r="G14" s="36" t="inlineStr">
        <is>
          <t>AuthProvider interface + NativeAuthProvider (Argon2id, sessions, rate limiting) per ADR-002; Auth0 deferred, interface keeps swap-in possible later</t>
        </is>
      </c>
      <c r="H14" s="36" t="inlineStr">
        <is>
          <t>Register/login/authenticated-route/logout/reset-initiation all pass against NativeAuthProvider; test proves no module imports NativeAuthProvider directly except via the interface</t>
        </is>
      </c>
      <c r="I14" s="36" t="inlineStr">
        <is>
          <t>Argon2id hashing, no plaintext/bcrypt; login+reset rate-limited from this card; sessions revocable server-side; see docs/adr/ADR-002-authentication-provider.md</t>
        </is>
      </c>
      <c r="J14" s="43" t="inlineStr">
        <is>
          <t>Not started</t>
        </is>
      </c>
      <c r="K14" s="43" t="n"/>
      <c r="L14" s="43" t="inlineStr">
        <is>
          <t>Revised per ADR-002 (2026-09-07): was 'Identity provider spike / OIDC PKCE'. Founder decision: native auth now, Auth0-ready interface, Auth0 wired in later.</t>
        </is>
      </c>
      <c r="M14" s="44" t="inlineStr">
        <is>
          <t>D010</t>
        </is>
      </c>
      <c r="N14" s="44" t="inlineStr">
        <is>
          <t>D010</t>
        </is>
      </c>
      <c r="O14" s="24" t="inlineStr">
        <is>
          <t>4.0h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  <c r="O15" s="24" t="inlineStr">
        <is>
          <t>1.0h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  <c r="O16" s="24" t="inlineStr">
        <is>
          <t>2.5h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  <c r="O17" s="24" t="inlineStr">
        <is>
          <t>2.0h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  <c r="O18" s="24" t="inlineStr">
        <is>
          <t>3.0h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  <c r="O19" s="24" t="inlineStr">
        <is>
          <t>3.0h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  <c r="O20" s="24" t="inlineStr">
        <is>
          <t>2.0h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  <c r="O21" s="24" t="inlineStr">
        <is>
          <t>2.0h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  <c r="O22" s="24" t="inlineStr">
        <is>
          <t>3.0h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  <c r="O23" s="24" t="inlineStr">
        <is>
          <t>2.0h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  <c r="O24" s="24" t="inlineStr">
        <is>
          <t>2.0h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  <c r="O25" s="24" t="inlineStr">
        <is>
          <t>2.5h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  <c r="O26" s="24" t="inlineStr">
        <is>
          <t>2.0h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  <c r="O27" s="24" t="inlineStr">
        <is>
          <t>2.0h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  <c r="O28" s="24" t="inlineStr">
        <is>
          <t>2.0h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  <c r="O29" s="24" t="inlineStr">
        <is>
          <t>4.0h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  <c r="O30" s="24" t="inlineStr">
        <is>
          <t>2.0h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  <c r="O31" s="24" t="inlineStr">
        <is>
          <t>2.0h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  <c r="O32" s="24" t="inlineStr">
        <is>
          <t>4.5h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  <c r="O33" s="24" t="inlineStr">
        <is>
          <t>2.0h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  <c r="O34" s="24" t="inlineStr">
        <is>
          <t>3.5h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  <c r="O35" s="24" t="inlineStr">
        <is>
          <t>2.0h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  <c r="O36" s="24" t="inlineStr">
        <is>
          <t>1.5h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  <c r="O37" s="24" t="inlineStr">
        <is>
          <t>1.5h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  <c r="O38" s="24" t="inlineStr">
        <is>
          <t>1.5h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  <c r="O39" s="24" t="inlineStr">
        <is>
          <t>3.5h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  <c r="O40" s="24" t="inlineStr">
        <is>
          <t>1.5h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  <c r="O41" s="24" t="inlineStr">
        <is>
          <t>1.5h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  <c r="O42" s="24" t="inlineStr">
        <is>
          <t>2.0h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  <c r="O43" s="24" t="inlineStr">
        <is>
          <t>1.5h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  <c r="O44" s="24" t="inlineStr">
        <is>
          <t>4.0h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  <c r="O45" s="24" t="inlineStr">
        <is>
          <t>1.5h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  <c r="O46" s="24" t="inlineStr">
        <is>
          <t>1.5h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  <c r="O47" s="24" t="inlineStr">
        <is>
          <t>1.5h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  <c r="O48" s="24" t="inlineStr">
        <is>
          <t>3.0h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  <c r="O49" s="24" t="inlineStr">
        <is>
          <t>2.5h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  <c r="O50" s="24" t="inlineStr">
        <is>
          <t>2.5h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  <c r="O51" s="24" t="inlineStr">
        <is>
          <t>2.5h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  <c r="O52" s="24" t="inlineStr">
        <is>
          <t>2.5h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  <c r="O53" s="24" t="inlineStr">
        <is>
          <t>2.5h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  <c r="O54" s="24" t="inlineStr">
        <is>
          <t>4.5h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  <c r="O55" s="24" t="inlineStr">
        <is>
          <t>5.5h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  <c r="O56" s="24" t="inlineStr">
        <is>
          <t>5.5h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  <c r="O57" s="24" t="inlineStr">
        <is>
          <t>5.5h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  <c r="O58" s="24" t="inlineStr">
        <is>
          <t>4.5h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  <c r="O59" s="24" t="inlineStr">
        <is>
          <t>2.5h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  <c r="O60" s="24" t="inlineStr">
        <is>
          <t>2.5h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  <c r="O61" s="24" t="inlineStr">
        <is>
          <t>4.5h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  <c r="O62" s="24" t="inlineStr">
        <is>
          <t>2.5h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  <c r="O63" s="24" t="inlineStr">
        <is>
          <t>2.5h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  <c r="O64" s="24" t="inlineStr">
        <is>
          <t>2.5h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  <c r="O65" s="24" t="inlineStr">
        <is>
          <t>2.5h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  <c r="O66" s="24" t="inlineStr">
        <is>
          <t>6.0h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  <c r="O67" s="24" t="inlineStr">
        <is>
          <t>4.5h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  <c r="O68" s="24" t="inlineStr">
        <is>
          <t>3.0h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  <c r="O69" s="24" t="inlineStr">
        <is>
          <t>3.0h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  <c r="O70" s="24" t="inlineStr">
        <is>
          <t>3.0h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  <c r="O71" s="24" t="inlineStr">
        <is>
          <t>3.5h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  <c r="O72" s="24" t="inlineStr">
        <is>
          <t>3.5h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  <c r="O73" s="24" t="inlineStr">
        <is>
          <t>3.0h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  <c r="O74" s="24" t="inlineStr">
        <is>
          <t>3.0h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  <c r="O75" s="24" t="inlineStr">
        <is>
          <t>3.0h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  <c r="O76" s="24" t="inlineStr">
        <is>
          <t>4.5h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  <c r="O77" s="24" t="inlineStr">
        <is>
          <t>3.0h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  <c r="O78" s="24" t="inlineStr">
        <is>
          <t>3.0h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  <c r="O79" s="24" t="inlineStr">
        <is>
          <t>4.5h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  <c r="O80" s="24" t="inlineStr">
        <is>
          <t>4.5h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  <c r="O81" s="24" t="inlineStr">
        <is>
          <t>4.5h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  <c r="O82" s="24" t="inlineStr">
        <is>
          <t>4.5h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  <c r="O83" s="24" t="inlineStr">
        <is>
          <t>3.0h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  <c r="O84" s="24" t="inlineStr">
        <is>
          <t>4.5h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  <c r="O85" s="24" t="inlineStr">
        <is>
          <t>3.0h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  <c r="O86" s="24" t="inlineStr">
        <is>
          <t>3.0h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  <c r="O87" s="24" t="inlineStr">
        <is>
          <t>3.0h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  <c r="O88" s="24" t="inlineStr">
        <is>
          <t>3.0h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  <c r="O89" s="24" t="inlineStr">
        <is>
          <t>3.0h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  <c r="O90" s="24" t="inlineStr">
        <is>
          <t>5.0h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  <c r="O91" s="24" t="inlineStr">
        <is>
          <t>2.5h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  <c r="O92" s="24" t="inlineStr">
        <is>
          <t>3.5h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  <c r="O93" s="24" t="inlineStr">
        <is>
          <t>3.5h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  <c r="O94" s="24" t="inlineStr">
        <is>
          <t>2.5h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  <c r="O95" s="24" t="inlineStr">
        <is>
          <t>5.0h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  <c r="O96" s="24" t="inlineStr">
        <is>
          <t>3.5h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  <c r="O97" s="24" t="inlineStr">
        <is>
          <t>3.5h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  <c r="O98" s="24" t="inlineStr">
        <is>
          <t>5.0h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  <c r="O99" s="24" t="inlineStr">
        <is>
          <t>4.0h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  <c r="O100" s="24" t="inlineStr">
        <is>
          <t>2.5h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  <c r="O101" s="24" t="inlineStr">
        <is>
          <t>2.5h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  <c r="O102" s="24" t="inlineStr">
        <is>
          <t>3.5h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  <c r="O103" s="24" t="inlineStr">
        <is>
          <t>2.5h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  <c r="O104" s="24" t="inlineStr">
        <is>
          <t>6.5h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  <c r="O105" s="24" t="inlineStr">
        <is>
          <t>2.0h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  <c r="O106" s="24" t="inlineStr">
        <is>
          <t>2.0h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  <c r="O107" s="24" t="inlineStr">
        <is>
          <t>2.0h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  <c r="O108" s="24" t="inlineStr">
        <is>
          <t>3.0h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  <c r="O109" s="24" t="inlineStr">
        <is>
          <t>2.0h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  <c r="O110" s="24" t="inlineStr">
        <is>
          <t>2.0h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  <c r="O111" s="24" t="inlineStr">
        <is>
          <t>2.0h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  <c r="O112" s="24" t="inlineStr">
        <is>
          <t>3.5h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  <c r="O113" s="24" t="inlineStr">
        <is>
          <t>2.0h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  <c r="O114" s="24" t="inlineStr">
        <is>
          <t>2.0h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  <c r="O115" s="24" t="inlineStr">
        <is>
          <t>2.0h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  <c r="O116" s="24" t="inlineStr">
        <is>
          <t>2.0h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  <c r="O117" s="24" t="inlineStr">
        <is>
          <t>2.0h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  <c r="O118" s="24" t="inlineStr">
        <is>
          <t>2.0h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  <c r="O119" s="24" t="inlineStr">
        <is>
          <t>2.0h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  <c r="O120" s="24" t="inlineStr">
        <is>
          <t>3.5h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  <c r="O121" s="24" t="inlineStr">
        <is>
          <t>2.0h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  <c r="O122" s="24" t="inlineStr">
        <is>
          <t>3.5h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  <c r="O123" s="24" t="inlineStr">
        <is>
          <t>3.5h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  <c r="O124" s="24" t="inlineStr">
        <is>
          <t>3.5h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  <c r="O125" s="24" t="inlineStr">
        <is>
          <t>2.0h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  <c r="O126" s="24" t="inlineStr">
        <is>
          <t>2.0h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  <c r="O127" s="24" t="inlineStr">
        <is>
          <t>2.0h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  <c r="O128" s="24" t="inlineStr">
        <is>
          <t>3.5h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  <c r="O129" s="24" t="inlineStr">
        <is>
          <t>2.0h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  <c r="O130" s="24" t="inlineStr">
        <is>
          <t>2.0h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  <c r="O131" s="24" t="inlineStr">
        <is>
          <t>5.0h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  <c r="O132" s="24" t="inlineStr">
        <is>
          <t>2.0h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  <c r="O133" s="24" t="inlineStr">
        <is>
          <t>3.5h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  <c r="O134" s="24" t="inlineStr">
        <is>
          <t>3.0h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  <c r="O135" s="24" t="inlineStr">
        <is>
          <t>3.5h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  <c r="O136" s="24" t="inlineStr">
        <is>
          <t>2.0h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  <c r="O137" s="24" t="inlineStr">
        <is>
          <t>3.5h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  <c r="O138" s="24" t="inlineStr">
        <is>
          <t>3.5h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  <c r="O139" s="24" t="inlineStr">
        <is>
          <t>2.0h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  <c r="O140" s="24" t="inlineStr">
        <is>
          <t>3.5h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  <c r="O141" s="24" t="inlineStr">
        <is>
          <t>2.0h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  <c r="O142" s="24" t="inlineStr">
        <is>
          <t>2.0h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  <c r="O143" s="24" t="inlineStr">
        <is>
          <t>2.0h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  <c r="O144" s="24" t="inlineStr">
        <is>
          <t>2.0h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  <c r="O145" s="24" t="inlineStr">
        <is>
          <t>2.0h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  <c r="O146" s="24" t="inlineStr">
        <is>
          <t>2.0h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  <c r="O147" s="24" t="inlineStr">
        <is>
          <t>2.0h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  <c r="O148" s="24" t="inlineStr">
        <is>
          <t>3.5h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  <c r="O149" s="24" t="inlineStr">
        <is>
          <t>4.0h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  <c r="O150" s="24" t="inlineStr">
        <is>
          <t>3.0h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  <c r="O151" s="24" t="inlineStr">
        <is>
          <t>2.0h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  <c r="O152" s="24" t="inlineStr">
        <is>
          <t>2.0h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  <c r="O153" s="24" t="inlineStr">
        <is>
          <t>2.0h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  <c r="O154" s="24" t="inlineStr">
        <is>
          <t>2.0h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  <c r="O155" s="24" t="inlineStr">
        <is>
          <t>2.0h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  <c r="O156" s="24" t="inlineStr">
        <is>
          <t>4.0h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  <c r="O157" s="24" t="inlineStr">
        <is>
          <t>2.0h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  <c r="O158" s="24" t="inlineStr">
        <is>
          <t>2.0h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  <c r="O159" s="24" t="inlineStr">
        <is>
          <t>2.0h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  <c r="O160" s="24" t="inlineStr">
        <is>
          <t>2.0h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  <c r="O161" s="24" t="inlineStr">
        <is>
          <t>4.0h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  <c r="O162" s="24" t="inlineStr">
        <is>
          <t>2.0h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  <c r="O163" s="24" t="inlineStr">
        <is>
          <t>2.0h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  <c r="O164" s="24" t="inlineStr">
        <is>
          <t>2.0h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  <c r="O165" s="24" t="inlineStr">
        <is>
          <t>2.0h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  <c r="O166" s="24" t="inlineStr">
        <is>
          <t>2.0h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  <c r="O167" s="24" t="inlineStr">
        <is>
          <t>2.0h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  <c r="O168" s="24" t="inlineStr">
        <is>
          <t>2.0h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  <c r="O169" s="24" t="inlineStr">
        <is>
          <t>2.0h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  <c r="O170" s="24" t="inlineStr">
        <is>
          <t>3.5h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  <c r="O171" s="24" t="inlineStr">
        <is>
          <t>1.5h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  <c r="O172" s="24" t="inlineStr">
        <is>
          <t>1.5h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  <c r="O173" s="24" t="inlineStr">
        <is>
          <t>4.5h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  <c r="O174" s="24" t="inlineStr">
        <is>
          <t>1.5h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  <c r="O175" s="24" t="inlineStr">
        <is>
          <t>4.0h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  <c r="O176" s="24" t="inlineStr">
        <is>
          <t>1.5h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  <c r="O177" s="24" t="inlineStr">
        <is>
          <t>1.5h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  <c r="O178" s="24" t="inlineStr">
        <is>
          <t>1.5h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  <c r="O179" s="24" t="inlineStr">
        <is>
          <t>3.0h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  <c r="O180" s="24" t="inlineStr">
        <is>
          <t>3.0h</t>
        </is>
      </c>
    </row>
    <row r="181">
      <c r="A181" s="45" t="n">
        <v>177</v>
      </c>
      <c r="B181" s="46">
        <f>WORKDAY(Config!$B$5,ROUND((A181-1)*5/Config!$B$6,0))</f>
        <v/>
      </c>
      <c r="C181" s="45" t="n">
        <v>11</v>
      </c>
      <c r="D181" s="45" t="inlineStr">
        <is>
          <t>Platform Admin Console</t>
        </is>
      </c>
      <c r="E181" s="45" t="inlineStr">
        <is>
          <t>Platform auth &amp; break-glass</t>
        </is>
      </c>
      <c r="F181" s="47" t="inlineStr">
        <is>
          <t>Schema: platform_users, support_access_grants, platform_role_changes, feature_flags</t>
        </is>
      </c>
      <c r="G181" s="45" t="inlineStr">
        <is>
          <t>New tables per docs/design/03 (Platform administration); migration; explicit reviewed exclusion from the cross-tenant test generator</t>
        </is>
      </c>
      <c r="H181" s="45" t="inlineStr">
        <is>
          <t>Migration applies cleanly; platform_users has no merchant_id; exclusion is an explicit annotation, not a silent skip</t>
        </is>
      </c>
      <c r="I181" s="45" t="inlineStr">
        <is>
          <t>Confirm platform_users carries no merchant_id and no PII beyond email</t>
        </is>
      </c>
      <c r="J181" s="43" t="inlineStr">
        <is>
          <t>Not started</t>
        </is>
      </c>
      <c r="K181" s="43" t="n"/>
      <c r="L181" s="43" t="n"/>
      <c r="M181" s="44" t="inlineStr">
        <is>
          <t>D177</t>
        </is>
      </c>
      <c r="N181" s="44" t="inlineStr">
        <is>
          <t>D177</t>
        </is>
      </c>
      <c r="O181" s="24" t="inlineStr">
        <is>
          <t>2.0h</t>
        </is>
      </c>
    </row>
    <row r="182">
      <c r="A182" s="45" t="n">
        <v>178</v>
      </c>
      <c r="B182" s="46">
        <f>WORKDAY(Config!$B$5,ROUND((A182-1)*5/Config!$B$6,0))</f>
        <v/>
      </c>
      <c r="C182" s="45" t="n">
        <v>11</v>
      </c>
      <c r="D182" s="45" t="inlineStr">
        <is>
          <t>Platform Admin Console</t>
        </is>
      </c>
      <c r="E182" s="45" t="inlineStr">
        <is>
          <t>Platform auth &amp; break-glass</t>
        </is>
      </c>
      <c r="F182" s="47" t="inlineStr">
        <is>
          <t>Platform AuthProvider instance + mandatory MFA for all platform roles</t>
        </is>
      </c>
      <c r="G182" s="45" t="inlineStr">
        <is>
          <t>AuthProvider (ADR-002) against platform_users; TOTP MFA enforced for all three platform roles</t>
        </is>
      </c>
      <c r="H182" s="45" t="inlineStr">
        <is>
          <t>Login without completed MFA is rejected for every platform role, not only the top tier</t>
        </is>
      </c>
      <c r="I182" s="45" t="inlineStr">
        <is>
          <t>Confirm MFA is enforced for PLATFORM_SUPPORT too, not only ADMIN/SUPERADMIN</t>
        </is>
      </c>
      <c r="J182" s="43" t="inlineStr">
        <is>
          <t>Not started</t>
        </is>
      </c>
      <c r="K182" s="43" t="n"/>
      <c r="L182" s="43" t="n"/>
      <c r="M182" s="44" t="inlineStr">
        <is>
          <t>D178</t>
        </is>
      </c>
      <c r="N182" s="44" t="inlineStr">
        <is>
          <t>D178</t>
        </is>
      </c>
      <c r="O182" s="24" t="inlineStr">
        <is>
          <t>3.0h</t>
        </is>
      </c>
    </row>
    <row r="183">
      <c r="A183" s="45" t="n">
        <v>179</v>
      </c>
      <c r="B183" s="46">
        <f>WORKDAY(Config!$B$5,ROUND((A183-1)*5/Config!$B$6,0))</f>
        <v/>
      </c>
      <c r="C183" s="45" t="n">
        <v>11</v>
      </c>
      <c r="D183" s="45" t="inlineStr">
        <is>
          <t>Platform Admin Console</t>
        </is>
      </c>
      <c r="E183" s="45" t="inlineStr">
        <is>
          <t>Platform auth &amp; break-glass</t>
        </is>
      </c>
      <c r="F183" s="47" t="inlineStr">
        <is>
          <t>Break-glass grant workflow (backend)</t>
        </is>
      </c>
      <c r="G183" s="45" t="inlineStr">
        <is>
          <t>support_access_grants create/expire/revoke; mandatory validated reason; fixed default expiry with a hard ceiling</t>
        </is>
      </c>
      <c r="H183" s="45" t="inlineStr">
        <is>
          <t>A grant cannot be created without a validated reason; an expired grant is unusable without renewal</t>
        </is>
      </c>
      <c r="I183" s="45" t="inlineStr">
        <is>
          <t>Confirm every merchant-data call checks for an active grant server-side, never client state</t>
        </is>
      </c>
      <c r="J183" s="43" t="inlineStr">
        <is>
          <t>Not started</t>
        </is>
      </c>
      <c r="K183" s="43" t="n"/>
      <c r="L183" s="43" t="n"/>
      <c r="M183" s="44" t="inlineStr">
        <is>
          <t>D179</t>
        </is>
      </c>
      <c r="N183" s="44" t="inlineStr">
        <is>
          <t>D179</t>
        </is>
      </c>
      <c r="O183" s="24" t="inlineStr">
        <is>
          <t>2.5h</t>
        </is>
      </c>
    </row>
    <row r="184">
      <c r="A184" s="45" t="n">
        <v>180</v>
      </c>
      <c r="B184" s="46">
        <f>WORKDAY(Config!$B$5,ROUND((A184-1)*5/Config!$B$6,0))</f>
        <v/>
      </c>
      <c r="C184" s="45" t="n">
        <v>11</v>
      </c>
      <c r="D184" s="45" t="inlineStr">
        <is>
          <t>Platform Admin Console</t>
        </is>
      </c>
      <c r="E184" s="45" t="inlineStr">
        <is>
          <t>Platform auth &amp; break-glass</t>
        </is>
      </c>
      <c r="F184" s="47" t="inlineStr">
        <is>
          <t>Audit log viewer UI</t>
        </is>
      </c>
      <c r="G184" s="45" t="inlineStr">
        <is>
          <t>Read-only apps/admin view over audit_log with a manual hash-chain verification action</t>
        </is>
      </c>
      <c r="H184" s="45" t="inlineStr">
        <is>
          <t>Viewer renders real audit rows; verification flags a deliberately corrupted test row</t>
        </is>
      </c>
      <c r="I184" s="45" t="inlineStr">
        <is>
          <t>Confirm the viewer cannot mutate audit_log at the repository layer</t>
        </is>
      </c>
      <c r="J184" s="43" t="inlineStr">
        <is>
          <t>Not started</t>
        </is>
      </c>
      <c r="K184" s="43" t="n"/>
      <c r="L184" s="43" t="n"/>
      <c r="M184" s="44" t="inlineStr">
        <is>
          <t>D180</t>
        </is>
      </c>
      <c r="N184" s="44" t="inlineStr">
        <is>
          <t>D180</t>
        </is>
      </c>
      <c r="O184" s="24" t="inlineStr">
        <is>
          <t>2.0h</t>
        </is>
      </c>
    </row>
    <row r="185">
      <c r="A185" s="45" t="n">
        <v>181</v>
      </c>
      <c r="B185" s="46">
        <f>WORKDAY(Config!$B$5,ROUND((A185-1)*5/Config!$B$6,0))</f>
        <v/>
      </c>
      <c r="C185" s="45" t="n">
        <v>11</v>
      </c>
      <c r="D185" s="45" t="inlineStr">
        <is>
          <t>Platform Admin Console</t>
        </is>
      </c>
      <c r="E185" s="45" t="inlineStr">
        <is>
          <t>Platform auth &amp; break-glass</t>
        </is>
      </c>
      <c r="F185" s="47" t="inlineStr">
        <is>
          <t>apps/admin scaffold + network restriction — GATE G11 groundwork</t>
        </is>
      </c>
      <c r="G185" s="45" t="inlineStr">
        <is>
          <t>New Next.js app per ADR-001; own hostname with IP allowlist or VPN/SSO gateway</t>
        </is>
      </c>
      <c r="H185" s="45" t="inlineStr">
        <is>
          <t>apps/admin deploys independently; a request outside the allowlist is rejected before reaching the app</t>
        </is>
      </c>
      <c r="I185" s="45" t="inlineStr">
        <is>
          <t>Confirm restriction is enforced at the infrastructure layer, not just documented</t>
        </is>
      </c>
      <c r="J185" s="43" t="inlineStr">
        <is>
          <t>Not started</t>
        </is>
      </c>
      <c r="K185" s="43" t="n"/>
      <c r="L185" s="43" t="n"/>
      <c r="M185" s="44" t="inlineStr">
        <is>
          <t>D181</t>
        </is>
      </c>
      <c r="N185" s="44" t="inlineStr">
        <is>
          <t>D181</t>
        </is>
      </c>
      <c r="O185" s="24" t="inlineStr">
        <is>
          <t>2.5h</t>
        </is>
      </c>
    </row>
    <row r="186">
      <c r="A186" s="45" t="n">
        <v>182</v>
      </c>
      <c r="B186" s="46">
        <f>WORKDAY(Config!$B$5,ROUND((A186-1)*5/Config!$B$6,0))</f>
        <v/>
      </c>
      <c r="C186" s="45" t="n">
        <v>11</v>
      </c>
      <c r="D186" s="45" t="inlineStr">
        <is>
          <t>Platform Admin Console</t>
        </is>
      </c>
      <c r="E186" s="45" t="inlineStr">
        <is>
          <t>Platform auth &amp; break-glass</t>
        </is>
      </c>
      <c r="F186" s="47" t="inlineStr">
        <is>
          <t>Support console: merchant/order/reservation lookup (read-only)</t>
        </is>
      </c>
      <c r="G186" s="45" t="inlineStr">
        <is>
          <t>Search by merchant ID/slug/user email; loads data only inside an active grant</t>
        </is>
      </c>
      <c r="H186" s="45" t="inlineStr">
        <is>
          <t>Lookup without an active grant is refused; lookup during a valid grant is audit-logged with the grant ID</t>
        </is>
      </c>
      <c r="I186" s="45" t="inlineStr">
        <is>
          <t>Confirm search never free-text matches PII fields without a specific identifier</t>
        </is>
      </c>
      <c r="J186" s="43" t="inlineStr">
        <is>
          <t>Not started</t>
        </is>
      </c>
      <c r="K186" s="43" t="n"/>
      <c r="L186" s="43" t="n"/>
      <c r="M186" s="44" t="inlineStr">
        <is>
          <t>D182</t>
        </is>
      </c>
      <c r="N186" s="44" t="inlineStr">
        <is>
          <t>D182</t>
        </is>
      </c>
      <c r="O186" s="24" t="inlineStr">
        <is>
          <t>2.0h</t>
        </is>
      </c>
    </row>
    <row r="187">
      <c r="A187" s="45" t="n">
        <v>183</v>
      </c>
      <c r="B187" s="46">
        <f>WORKDAY(Config!$B$5,ROUND((A187-1)*5/Config!$B$6,0))</f>
        <v/>
      </c>
      <c r="C187" s="45" t="n">
        <v>11</v>
      </c>
      <c r="D187" s="45" t="inlineStr">
        <is>
          <t>Platform Admin Console</t>
        </is>
      </c>
      <c r="E187" s="45" t="inlineStr">
        <is>
          <t>Support actions</t>
        </is>
      </c>
      <c r="F187" s="47" t="inlineStr">
        <is>
          <t>Support action: void/refund an order</t>
        </is>
      </c>
      <c r="G187" s="45" t="inlineStr">
        <is>
          <t>Routes through the existing payment service, grant-gated; no direct DB write</t>
        </is>
      </c>
      <c r="H187" s="45" t="inlineStr">
        <is>
          <t>Refund from the console produces the same records as the merchant dashboard; fails outside a grant</t>
        </is>
      </c>
      <c r="I187" s="45" t="inlineStr">
        <is>
          <t>Confirm deposit/capture-bounds invariants are not bypassed by this entry point</t>
        </is>
      </c>
      <c r="J187" s="43" t="inlineStr">
        <is>
          <t>Not started</t>
        </is>
      </c>
      <c r="K187" s="43" t="n"/>
      <c r="L187" s="43" t="n"/>
      <c r="M187" s="44" t="inlineStr">
        <is>
          <t>D183</t>
        </is>
      </c>
      <c r="N187" s="44" t="inlineStr">
        <is>
          <t>D183</t>
        </is>
      </c>
      <c r="O187" s="24" t="inlineStr">
        <is>
          <t>2.5h</t>
        </is>
      </c>
    </row>
    <row r="188">
      <c r="A188" s="45" t="n">
        <v>184</v>
      </c>
      <c r="B188" s="46">
        <f>WORKDAY(Config!$B$5,ROUND((A188-1)*5/Config!$B$6,0))</f>
        <v/>
      </c>
      <c r="C188" s="45" t="n">
        <v>11</v>
      </c>
      <c r="D188" s="45" t="inlineStr">
        <is>
          <t>Platform Admin Console</t>
        </is>
      </c>
      <c r="E188" s="45" t="inlineStr">
        <is>
          <t>Support actions</t>
        </is>
      </c>
      <c r="F188" s="47" t="inlineStr">
        <is>
          <t>Support action: release a stuck reservation</t>
        </is>
      </c>
      <c r="G188" s="45" t="inlineStr">
        <is>
          <t>Forces a HELD/CONFIRMED reservation to CANCELLED outside its normal lifecycle, grant-gated</t>
        </is>
      </c>
      <c r="H188" s="45" t="inlineStr">
        <is>
          <t>Releasing frees the slot for rebooking and is audit-logged with before/after state</t>
        </is>
      </c>
      <c r="I188" s="45" t="inlineStr">
        <is>
          <t>Confirm this bypass is reachable only through this action</t>
        </is>
      </c>
      <c r="J188" s="43" t="inlineStr">
        <is>
          <t>Not started</t>
        </is>
      </c>
      <c r="K188" s="43" t="n"/>
      <c r="L188" s="43" t="n"/>
      <c r="M188" s="44" t="inlineStr">
        <is>
          <t>D184</t>
        </is>
      </c>
      <c r="N188" s="44" t="inlineStr">
        <is>
          <t>D184</t>
        </is>
      </c>
      <c r="O188" s="24" t="inlineStr">
        <is>
          <t>2.0h</t>
        </is>
      </c>
    </row>
    <row r="189">
      <c r="A189" s="45" t="n">
        <v>185</v>
      </c>
      <c r="B189" s="46">
        <f>WORKDAY(Config!$B$5,ROUND((A189-1)*5/Config!$B$6,0))</f>
        <v/>
      </c>
      <c r="C189" s="45" t="n">
        <v>11</v>
      </c>
      <c r="D189" s="45" t="inlineStr">
        <is>
          <t>Platform Admin Console</t>
        </is>
      </c>
      <c r="E189" s="45" t="inlineStr">
        <is>
          <t>Support actions</t>
        </is>
      </c>
      <c r="F189" s="47" t="inlineStr">
        <is>
          <t>Support action: resend notification / replay webhook event</t>
        </is>
      </c>
      <c r="G189" s="45" t="inlineStr">
        <is>
          <t>Re-triggers a notification or replays a stored webhook event, grant-gated</t>
        </is>
      </c>
      <c r="H189" s="45" t="inlineStr">
        <is>
          <t>Resend/replay produces the expected effect exactly once (idempotent) and is audit-logged</t>
        </is>
      </c>
      <c r="I189" s="45" t="inlineStr">
        <is>
          <t>Confirm a replay cannot double-apply a financial side effect</t>
        </is>
      </c>
      <c r="J189" s="43" t="inlineStr">
        <is>
          <t>Not started</t>
        </is>
      </c>
      <c r="K189" s="43" t="n"/>
      <c r="L189" s="43" t="n"/>
      <c r="M189" s="44" t="inlineStr">
        <is>
          <t>D185</t>
        </is>
      </c>
      <c r="N189" s="44" t="inlineStr">
        <is>
          <t>D185</t>
        </is>
      </c>
      <c r="O189" s="24" t="inlineStr">
        <is>
          <t>1.5h</t>
        </is>
      </c>
    </row>
    <row r="190">
      <c r="A190" s="45" t="n">
        <v>186</v>
      </c>
      <c r="B190" s="46">
        <f>WORKDAY(Config!$B$5,ROUND((A190-1)*5/Config!$B$6,0))</f>
        <v/>
      </c>
      <c r="C190" s="45" t="n">
        <v>11</v>
      </c>
      <c r="D190" s="45" t="inlineStr">
        <is>
          <t>Platform Admin Console</t>
        </is>
      </c>
      <c r="E190" s="45" t="inlineStr">
        <is>
          <t>Support actions</t>
        </is>
      </c>
      <c r="F190" s="47" t="inlineStr">
        <is>
          <t>Support action audit trail + merchant-visible support-access notice</t>
        </is>
      </c>
      <c r="G190" s="45" t="inlineStr">
        <is>
          <t>Every Epic B action queryable by grant ID; merchant dashboard addition surfacing support access</t>
        </is>
      </c>
      <c r="H190" s="45" t="inlineStr">
        <is>
          <t>A merchant OWNER sees a real support-access event within one refresh</t>
        </is>
      </c>
      <c r="I190" s="45" t="inlineStr">
        <is>
          <t>Confirm the notice cannot be suppressed by the platform user who created the grant</t>
        </is>
      </c>
      <c r="J190" s="43" t="inlineStr">
        <is>
          <t>Not started</t>
        </is>
      </c>
      <c r="K190" s="43" t="n"/>
      <c r="L190" s="43" t="n"/>
      <c r="M190" s="44" t="inlineStr">
        <is>
          <t>D186</t>
        </is>
      </c>
      <c r="N190" s="44" t="inlineStr">
        <is>
          <t>D186</t>
        </is>
      </c>
      <c r="O190" s="24" t="inlineStr">
        <is>
          <t>2.0h</t>
        </is>
      </c>
    </row>
    <row r="191">
      <c r="A191" s="45" t="n">
        <v>187</v>
      </c>
      <c r="B191" s="46">
        <f>WORKDAY(Config!$B$5,ROUND((A191-1)*5/Config!$B$6,0))</f>
        <v/>
      </c>
      <c r="C191" s="45" t="n">
        <v>11</v>
      </c>
      <c r="D191" s="45" t="inlineStr">
        <is>
          <t>Platform Admin Console</t>
        </is>
      </c>
      <c r="E191" s="45" t="inlineStr">
        <is>
          <t>Merchant lifecycle</t>
        </is>
      </c>
      <c r="F191" s="47" t="inlineStr">
        <is>
          <t>Merchant suspend workflow</t>
        </is>
      </c>
      <c r="G191" s="45" t="inlineStr">
        <is>
          <t>PLATFORM_ADMIN+ suspends a merchant: storefront takedown, mandatory reason, notifies OWNERs</t>
        </is>
      </c>
      <c r="H191" s="45" t="inlineStr">
        <is>
          <t>Suspended storefront returns unavailable within seconds; OWNERs notified; action audit-logged</t>
        </is>
      </c>
      <c r="I191" s="45" t="inlineStr">
        <is>
          <t>Confirm a suspended merchant's existing sessions cannot complete a new checkout</t>
        </is>
      </c>
      <c r="J191" s="43" t="inlineStr">
        <is>
          <t>Not started</t>
        </is>
      </c>
      <c r="K191" s="43" t="n"/>
      <c r="L191" s="43" t="n"/>
      <c r="M191" s="44" t="inlineStr">
        <is>
          <t>D187</t>
        </is>
      </c>
      <c r="N191" s="44" t="inlineStr">
        <is>
          <t>D187</t>
        </is>
      </c>
      <c r="O191" s="24" t="inlineStr">
        <is>
          <t>2.0h</t>
        </is>
      </c>
    </row>
    <row r="192">
      <c r="A192" s="45" t="n">
        <v>188</v>
      </c>
      <c r="B192" s="46">
        <f>WORKDAY(Config!$B$5,ROUND((A192-1)*5/Config!$B$6,0))</f>
        <v/>
      </c>
      <c r="C192" s="45" t="n">
        <v>11</v>
      </c>
      <c r="D192" s="45" t="inlineStr">
        <is>
          <t>Platform Admin Console</t>
        </is>
      </c>
      <c r="E192" s="45" t="inlineStr">
        <is>
          <t>Merchant lifecycle</t>
        </is>
      </c>
      <c r="F192" s="47" t="inlineStr">
        <is>
          <t>Merchant reinstate workflow (dual control)</t>
        </is>
      </c>
      <c r="G192" s="45" t="inlineStr">
        <is>
          <t>PLATFORM_SUPERADMIN-only reinstatement — the suspending role cannot reverse it alone</t>
        </is>
      </c>
      <c r="H192" s="45" t="inlineStr">
        <is>
          <t>PLATFORM_ADMIN attempting to reinstate is refused; SUPERADMIN reinstatement restores the storefront</t>
        </is>
      </c>
      <c r="I192" s="45" t="inlineStr">
        <is>
          <t>Confirm dual control is enforced server-side, not just a disabled button</t>
        </is>
      </c>
      <c r="J192" s="43" t="inlineStr">
        <is>
          <t>Not started</t>
        </is>
      </c>
      <c r="K192" s="43" t="n"/>
      <c r="L192" s="43" t="n"/>
      <c r="M192" s="44" t="inlineStr">
        <is>
          <t>D188</t>
        </is>
      </c>
      <c r="N192" s="44" t="inlineStr">
        <is>
          <t>D188</t>
        </is>
      </c>
      <c r="O192" s="24" t="inlineStr">
        <is>
          <t>2.0h</t>
        </is>
      </c>
    </row>
    <row r="193">
      <c r="A193" s="45" t="n">
        <v>189</v>
      </c>
      <c r="B193" s="46">
        <f>WORKDAY(Config!$B$5,ROUND((A193-1)*5/Config!$B$6,0))</f>
        <v/>
      </c>
      <c r="C193" s="45" t="n">
        <v>11</v>
      </c>
      <c r="D193" s="45" t="inlineStr">
        <is>
          <t>Platform Admin Console</t>
        </is>
      </c>
      <c r="E193" s="45" t="inlineStr">
        <is>
          <t>Merchant lifecycle</t>
        </is>
      </c>
      <c r="F193" s="47" t="inlineStr">
        <is>
          <t>Merchant onboard/offboard admin view</t>
        </is>
      </c>
      <c r="G193" s="45" t="inlineStr">
        <is>
          <t>Create merchant record + OWNER invitation; offboard triggers existing retention rules (08)</t>
        </is>
      </c>
      <c r="H193" s="45" t="inlineStr">
        <is>
          <t>New merchant completes OWNER signup from invitation; offboarding matches 08 exactly</t>
        </is>
      </c>
      <c r="I193" s="45" t="inlineStr">
        <is>
          <t>Confirm offboarding does not delete financial/audit records</t>
        </is>
      </c>
      <c r="J193" s="43" t="inlineStr">
        <is>
          <t>Not started</t>
        </is>
      </c>
      <c r="K193" s="43" t="n"/>
      <c r="L193" s="43" t="n"/>
      <c r="M193" s="44" t="inlineStr">
        <is>
          <t>D189</t>
        </is>
      </c>
      <c r="N193" s="44" t="inlineStr">
        <is>
          <t>D189</t>
        </is>
      </c>
      <c r="O193" s="24" t="inlineStr">
        <is>
          <t>2.5h</t>
        </is>
      </c>
    </row>
    <row r="194">
      <c r="A194" s="45" t="n">
        <v>190</v>
      </c>
      <c r="B194" s="46">
        <f>WORKDAY(Config!$B$5,ROUND((A194-1)*5/Config!$B$6,0))</f>
        <v/>
      </c>
      <c r="C194" s="45" t="n">
        <v>11</v>
      </c>
      <c r="D194" s="45" t="inlineStr">
        <is>
          <t>Platform Admin Console</t>
        </is>
      </c>
      <c r="E194" s="45" t="inlineStr">
        <is>
          <t>Merchant lifecycle</t>
        </is>
      </c>
      <c r="F194" s="47" t="inlineStr">
        <is>
          <t>Merchant lifecycle audit + notifications</t>
        </is>
      </c>
      <c r="G194" s="45" t="inlineStr">
        <is>
          <t>Consolidates suspend/reinstate/onboard/offboard into one auditable event stream</t>
        </is>
      </c>
      <c r="H194" s="45" t="inlineStr">
        <is>
          <t>Lifecycle transitions for a test merchant appear in the audit log in correct order</t>
        </is>
      </c>
      <c r="I194" s="45" t="inlineStr">
        <is>
          <t>Confirm lifecycle events cannot be reordered or backdated by client timestamps</t>
        </is>
      </c>
      <c r="J194" s="43" t="inlineStr">
        <is>
          <t>Not started</t>
        </is>
      </c>
      <c r="K194" s="43" t="n"/>
      <c r="L194" s="43" t="n"/>
      <c r="M194" s="44" t="inlineStr">
        <is>
          <t>D190</t>
        </is>
      </c>
      <c r="N194" s="44" t="inlineStr">
        <is>
          <t>D190</t>
        </is>
      </c>
      <c r="O194" s="24" t="inlineStr">
        <is>
          <t>1.5h</t>
        </is>
      </c>
    </row>
    <row r="195">
      <c r="A195" s="45" t="n">
        <v>191</v>
      </c>
      <c r="B195" s="46">
        <f>WORKDAY(Config!$B$5,ROUND((A195-1)*5/Config!$B$6,0))</f>
        <v/>
      </c>
      <c r="C195" s="45" t="n">
        <v>11</v>
      </c>
      <c r="D195" s="45" t="inlineStr">
        <is>
          <t>Platform Admin Console</t>
        </is>
      </c>
      <c r="E195" s="45" t="inlineStr">
        <is>
          <t>Platform reporting</t>
        </is>
      </c>
      <c r="F195" s="47" t="inlineStr">
        <is>
          <t>Platform-wide aggregate reporting queries</t>
        </is>
      </c>
      <c r="G195" s="45" t="inlineStr">
        <is>
          <t>GMV, active merchants, booking volume by mode, take-rate revenue, deposit/claim rates — aggregate only</t>
        </is>
      </c>
      <c r="H195" s="45" t="inlineStr">
        <is>
          <t>Queries return correct aggregates against seeded multi-merchant data; no row-level PII returned</t>
        </is>
      </c>
      <c r="I195" s="45" t="inlineStr">
        <is>
          <t>Confirm anything needing a specific customer/order goes through the grant workflow</t>
        </is>
      </c>
      <c r="J195" s="43" t="inlineStr">
        <is>
          <t>Not started</t>
        </is>
      </c>
      <c r="K195" s="43" t="n"/>
      <c r="L195" s="43" t="n"/>
      <c r="M195" s="44" t="inlineStr">
        <is>
          <t>D191</t>
        </is>
      </c>
      <c r="N195" s="44" t="inlineStr">
        <is>
          <t>D191</t>
        </is>
      </c>
      <c r="O195" s="24" t="inlineStr">
        <is>
          <t>2.5h</t>
        </is>
      </c>
    </row>
    <row r="196">
      <c r="A196" s="45" t="n">
        <v>192</v>
      </c>
      <c r="B196" s="46">
        <f>WORKDAY(Config!$B$5,ROUND((A196-1)*5/Config!$B$6,0))</f>
        <v/>
      </c>
      <c r="C196" s="45" t="n">
        <v>11</v>
      </c>
      <c r="D196" s="45" t="inlineStr">
        <is>
          <t>Platform Admin Console</t>
        </is>
      </c>
      <c r="E196" s="45" t="inlineStr">
        <is>
          <t>Platform reporting</t>
        </is>
      </c>
      <c r="F196" s="47" t="inlineStr">
        <is>
          <t>Reporting dashboard UI</t>
        </is>
      </c>
      <c r="G196" s="45" t="inlineStr">
        <is>
          <t>apps/admin views for Epic D aggregates — charts/tables, date-range filtering</t>
        </is>
      </c>
      <c r="H196" s="45" t="inlineStr">
        <is>
          <t>Dashboard renders real aggregate data; filtering changes results correctly</t>
        </is>
      </c>
      <c r="I196" s="45" t="inlineStr">
        <is>
          <t>Confirm the dashboard calls only aggregate endpoints, never raw per-merchant data</t>
        </is>
      </c>
      <c r="J196" s="43" t="inlineStr">
        <is>
          <t>Not started</t>
        </is>
      </c>
      <c r="K196" s="43" t="n"/>
      <c r="L196" s="43" t="n"/>
      <c r="M196" s="44" t="inlineStr">
        <is>
          <t>D192</t>
        </is>
      </c>
      <c r="N196" s="44" t="inlineStr">
        <is>
          <t>D192</t>
        </is>
      </c>
      <c r="O196" s="24" t="inlineStr">
        <is>
          <t>2.5h</t>
        </is>
      </c>
    </row>
    <row r="197">
      <c r="A197" s="45" t="n">
        <v>193</v>
      </c>
      <c r="B197" s="46">
        <f>WORKDAY(Config!$B$5,ROUND((A197-1)*5/Config!$B$6,0))</f>
        <v/>
      </c>
      <c r="C197" s="45" t="n">
        <v>11</v>
      </c>
      <c r="D197" s="45" t="inlineStr">
        <is>
          <t>Platform Admin Console</t>
        </is>
      </c>
      <c r="E197" s="45" t="inlineStr">
        <is>
          <t>Platform reporting</t>
        </is>
      </c>
      <c r="F197" s="47" t="inlineStr">
        <is>
          <t>Scheduled CSV export</t>
        </is>
      </c>
      <c r="G197" s="45" t="inlineStr">
        <is>
          <t>On-demand and scheduled CSV export of Epic D aggregates</t>
        </is>
      </c>
      <c r="H197" s="45" t="inlineStr">
        <is>
          <t>Exported CSV matches dashboard numbers for the same range; export is audit-logged</t>
        </is>
      </c>
      <c r="I197" s="45" t="inlineStr">
        <is>
          <t>Confirm exports contain aggregates only, no row-level PII</t>
        </is>
      </c>
      <c r="J197" s="43" t="inlineStr">
        <is>
          <t>Not started</t>
        </is>
      </c>
      <c r="K197" s="43" t="n"/>
      <c r="L197" s="43" t="n"/>
      <c r="M197" s="44" t="inlineStr">
        <is>
          <t>D193</t>
        </is>
      </c>
      <c r="N197" s="44" t="inlineStr">
        <is>
          <t>D193</t>
        </is>
      </c>
      <c r="O197" s="24" t="inlineStr">
        <is>
          <t>1.5h</t>
        </is>
      </c>
    </row>
    <row r="198">
      <c r="A198" s="45" t="n">
        <v>194</v>
      </c>
      <c r="B198" s="46">
        <f>WORKDAY(Config!$B$5,ROUND((A198-1)*5/Config!$B$6,0))</f>
        <v/>
      </c>
      <c r="C198" s="45" t="n">
        <v>11</v>
      </c>
      <c r="D198" s="45" t="inlineStr">
        <is>
          <t>Platform Admin Console</t>
        </is>
      </c>
      <c r="E198" s="45" t="inlineStr">
        <is>
          <t>Feature flags &amp; role management</t>
        </is>
      </c>
      <c r="F198" s="47" t="inlineStr">
        <is>
          <t>Feature flag schema + service</t>
        </is>
      </c>
      <c r="G198" s="45" t="inlineStr">
        <is>
          <t>feature_flags/feature_flag_overrides; packages/config reads global default plus per-merchant override</t>
        </is>
      </c>
      <c r="H198" s="45" t="inlineStr">
        <is>
          <t>Toggling globally changes behavior without an override; per-merchant override takes precedence</t>
        </is>
      </c>
      <c r="I198" s="45" t="inlineStr">
        <is>
          <t>Confirm flag reads cannot serve a stale override past a short bounded TTL</t>
        </is>
      </c>
      <c r="J198" s="43" t="inlineStr">
        <is>
          <t>Not started</t>
        </is>
      </c>
      <c r="K198" s="43" t="n"/>
      <c r="L198" s="43" t="n"/>
      <c r="M198" s="44" t="inlineStr">
        <is>
          <t>D194</t>
        </is>
      </c>
      <c r="N198" s="44" t="inlineStr">
        <is>
          <t>D194</t>
        </is>
      </c>
      <c r="O198" s="24" t="inlineStr">
        <is>
          <t>2.0h</t>
        </is>
      </c>
    </row>
    <row r="199">
      <c r="A199" s="45" t="n">
        <v>195</v>
      </c>
      <c r="B199" s="46">
        <f>WORKDAY(Config!$B$5,ROUND((A199-1)*5/Config!$B$6,0))</f>
        <v/>
      </c>
      <c r="C199" s="45" t="n">
        <v>11</v>
      </c>
      <c r="D199" s="45" t="inlineStr">
        <is>
          <t>Platform Admin Console</t>
        </is>
      </c>
      <c r="E199" s="45" t="inlineStr">
        <is>
          <t>Feature flags &amp; role management</t>
        </is>
      </c>
      <c r="F199" s="47" t="inlineStr">
        <is>
          <t>Feature flag management UI</t>
        </is>
      </c>
      <c r="G199" s="45" t="inlineStr">
        <is>
          <t>PLATFORM_ADMIN+ view to toggle flags globally or per-merchant</t>
        </is>
      </c>
      <c r="H199" s="45" t="inlineStr">
        <is>
          <t>A toggle is reflected within the TTL window and is audit-logged with before/after state</t>
        </is>
      </c>
      <c r="I199" s="45" t="inlineStr">
        <is>
          <t>Confirm only PLATFORM_ADMIN+ can toggle flags</t>
        </is>
      </c>
      <c r="J199" s="43" t="inlineStr">
        <is>
          <t>Not started</t>
        </is>
      </c>
      <c r="K199" s="43" t="n"/>
      <c r="L199" s="43" t="n"/>
      <c r="M199" s="44" t="inlineStr">
        <is>
          <t>D195</t>
        </is>
      </c>
      <c r="N199" s="44" t="inlineStr">
        <is>
          <t>D195</t>
        </is>
      </c>
      <c r="O199" s="24" t="inlineStr">
        <is>
          <t>2.0h</t>
        </is>
      </c>
    </row>
    <row r="200">
      <c r="A200" s="45" t="n">
        <v>196</v>
      </c>
      <c r="B200" s="46">
        <f>WORKDAY(Config!$B$5,ROUND((A200-1)*5/Config!$B$6,0))</f>
        <v/>
      </c>
      <c r="C200" s="45" t="n">
        <v>11</v>
      </c>
      <c r="D200" s="45" t="inlineStr">
        <is>
          <t>Platform Admin Console</t>
        </is>
      </c>
      <c r="E200" s="45" t="inlineStr">
        <is>
          <t>Feature flags &amp; role management</t>
        </is>
      </c>
      <c r="F200" s="47" t="inlineStr">
        <is>
          <t>Platform staff role/permission management UI</t>
        </is>
      </c>
      <c r="G200" s="45" t="inlineStr">
        <is>
          <t>PLATFORM_SUPERADMIN-only: create/deactivate platform_users, assign roles; notifies all SUPERADMINs</t>
        </is>
      </c>
      <c r="H200" s="45" t="inlineStr">
        <is>
          <t>Role change by a SUPERADMIN succeeds and notifies every other SUPERADMIN; refused for non-SUPERADMIN</t>
        </is>
      </c>
      <c r="I200" s="45" t="inlineStr">
        <is>
          <t>Confirm a platform user cannot escalate their own role unilaterally</t>
        </is>
      </c>
      <c r="J200" s="43" t="inlineStr">
        <is>
          <t>Not started</t>
        </is>
      </c>
      <c r="K200" s="43" t="n"/>
      <c r="L200" s="43" t="n"/>
      <c r="M200" s="44" t="inlineStr">
        <is>
          <t>D196</t>
        </is>
      </c>
      <c r="N200" s="44" t="inlineStr">
        <is>
          <t>D196</t>
        </is>
      </c>
      <c r="O200" s="24" t="inlineStr">
        <is>
          <t>2.5h</t>
        </is>
      </c>
    </row>
    <row r="201">
      <c r="A201" s="45" t="n">
        <v>197</v>
      </c>
      <c r="B201" s="46">
        <f>WORKDAY(Config!$B$5,ROUND((A201-1)*5/Config!$B$6,0))</f>
        <v/>
      </c>
      <c r="C201" s="45" t="n">
        <v>11</v>
      </c>
      <c r="D201" s="45" t="inlineStr">
        <is>
          <t>Platform Admin Console</t>
        </is>
      </c>
      <c r="E201" s="45" t="inlineStr">
        <is>
          <t>Feature flags &amp; role management</t>
        </is>
      </c>
      <c r="F201" s="47" t="inlineStr">
        <is>
          <t>Platform admin console review — GATE G11</t>
        </is>
      </c>
      <c r="G201" s="45" t="inlineStr">
        <is>
          <t>Full review against 16: grant-scoping test suite, audit-row-per-action test, network-restriction verification</t>
        </is>
      </c>
      <c r="H201" s="45" t="inlineStr">
        <is>
          <t>G11 test proves no merchant-data access without an active grant; every mutating action produces a traceable audit row</t>
        </is>
      </c>
      <c r="I201" s="45" t="inlineStr">
        <is>
          <t>Confirm dual-control and MFA-for-all-platform-roles are both actually tested</t>
        </is>
      </c>
      <c r="J201" s="43" t="inlineStr">
        <is>
          <t>Not started</t>
        </is>
      </c>
      <c r="K201" s="43" t="n"/>
      <c r="L201" s="43" t="n"/>
      <c r="M201" s="44" t="inlineStr">
        <is>
          <t>D197</t>
        </is>
      </c>
      <c r="N201" s="44" t="inlineStr">
        <is>
          <t>D197</t>
        </is>
      </c>
      <c r="O201" s="24" t="inlineStr">
        <is>
          <t>3.0h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  <hyperlink xmlns:r="http://schemas.openxmlformats.org/officeDocument/2006/relationships" ref="M181" r:id="rId353"/>
    <hyperlink xmlns:r="http://schemas.openxmlformats.org/officeDocument/2006/relationships" ref="N181" r:id="rId354"/>
    <hyperlink xmlns:r="http://schemas.openxmlformats.org/officeDocument/2006/relationships" ref="M182" r:id="rId355"/>
    <hyperlink xmlns:r="http://schemas.openxmlformats.org/officeDocument/2006/relationships" ref="N182" r:id="rId356"/>
    <hyperlink xmlns:r="http://schemas.openxmlformats.org/officeDocument/2006/relationships" ref="M183" r:id="rId357"/>
    <hyperlink xmlns:r="http://schemas.openxmlformats.org/officeDocument/2006/relationships" ref="N183" r:id="rId358"/>
    <hyperlink xmlns:r="http://schemas.openxmlformats.org/officeDocument/2006/relationships" ref="M184" r:id="rId359"/>
    <hyperlink xmlns:r="http://schemas.openxmlformats.org/officeDocument/2006/relationships" ref="N184" r:id="rId360"/>
    <hyperlink xmlns:r="http://schemas.openxmlformats.org/officeDocument/2006/relationships" ref="M185" r:id="rId361"/>
    <hyperlink xmlns:r="http://schemas.openxmlformats.org/officeDocument/2006/relationships" ref="N185" r:id="rId362"/>
    <hyperlink xmlns:r="http://schemas.openxmlformats.org/officeDocument/2006/relationships" ref="M186" r:id="rId363"/>
    <hyperlink xmlns:r="http://schemas.openxmlformats.org/officeDocument/2006/relationships" ref="N186" r:id="rId364"/>
    <hyperlink xmlns:r="http://schemas.openxmlformats.org/officeDocument/2006/relationships" ref="M187" r:id="rId365"/>
    <hyperlink xmlns:r="http://schemas.openxmlformats.org/officeDocument/2006/relationships" ref="N187" r:id="rId366"/>
    <hyperlink xmlns:r="http://schemas.openxmlformats.org/officeDocument/2006/relationships" ref="M188" r:id="rId367"/>
    <hyperlink xmlns:r="http://schemas.openxmlformats.org/officeDocument/2006/relationships" ref="N188" r:id="rId368"/>
    <hyperlink xmlns:r="http://schemas.openxmlformats.org/officeDocument/2006/relationships" ref="M189" r:id="rId369"/>
    <hyperlink xmlns:r="http://schemas.openxmlformats.org/officeDocument/2006/relationships" ref="N189" r:id="rId370"/>
    <hyperlink xmlns:r="http://schemas.openxmlformats.org/officeDocument/2006/relationships" ref="M190" r:id="rId371"/>
    <hyperlink xmlns:r="http://schemas.openxmlformats.org/officeDocument/2006/relationships" ref="N190" r:id="rId372"/>
    <hyperlink xmlns:r="http://schemas.openxmlformats.org/officeDocument/2006/relationships" ref="M191" r:id="rId373"/>
    <hyperlink xmlns:r="http://schemas.openxmlformats.org/officeDocument/2006/relationships" ref="N191" r:id="rId374"/>
    <hyperlink xmlns:r="http://schemas.openxmlformats.org/officeDocument/2006/relationships" ref="M192" r:id="rId375"/>
    <hyperlink xmlns:r="http://schemas.openxmlformats.org/officeDocument/2006/relationships" ref="N192" r:id="rId376"/>
    <hyperlink xmlns:r="http://schemas.openxmlformats.org/officeDocument/2006/relationships" ref="M193" r:id="rId377"/>
    <hyperlink xmlns:r="http://schemas.openxmlformats.org/officeDocument/2006/relationships" ref="N193" r:id="rId378"/>
    <hyperlink xmlns:r="http://schemas.openxmlformats.org/officeDocument/2006/relationships" ref="M194" r:id="rId379"/>
    <hyperlink xmlns:r="http://schemas.openxmlformats.org/officeDocument/2006/relationships" ref="N194" r:id="rId380"/>
    <hyperlink xmlns:r="http://schemas.openxmlformats.org/officeDocument/2006/relationships" ref="M195" r:id="rId381"/>
    <hyperlink xmlns:r="http://schemas.openxmlformats.org/officeDocument/2006/relationships" ref="N195" r:id="rId382"/>
    <hyperlink xmlns:r="http://schemas.openxmlformats.org/officeDocument/2006/relationships" ref="M196" r:id="rId383"/>
    <hyperlink xmlns:r="http://schemas.openxmlformats.org/officeDocument/2006/relationships" ref="N196" r:id="rId384"/>
    <hyperlink xmlns:r="http://schemas.openxmlformats.org/officeDocument/2006/relationships" ref="M197" r:id="rId385"/>
    <hyperlink xmlns:r="http://schemas.openxmlformats.org/officeDocument/2006/relationships" ref="N197" r:id="rId386"/>
    <hyperlink xmlns:r="http://schemas.openxmlformats.org/officeDocument/2006/relationships" ref="M198" r:id="rId387"/>
    <hyperlink xmlns:r="http://schemas.openxmlformats.org/officeDocument/2006/relationships" ref="N198" r:id="rId388"/>
    <hyperlink xmlns:r="http://schemas.openxmlformats.org/officeDocument/2006/relationships" ref="M199" r:id="rId389"/>
    <hyperlink xmlns:r="http://schemas.openxmlformats.org/officeDocument/2006/relationships" ref="N199" r:id="rId390"/>
    <hyperlink xmlns:r="http://schemas.openxmlformats.org/officeDocument/2006/relationships" ref="M200" r:id="rId391"/>
    <hyperlink xmlns:r="http://schemas.openxmlformats.org/officeDocument/2006/relationships" ref="N200" r:id="rId392"/>
    <hyperlink xmlns:r="http://schemas.openxmlformats.org/officeDocument/2006/relationships" ref="M201" r:id="rId393"/>
    <hyperlink xmlns:r="http://schemas.openxmlformats.org/officeDocument/2006/relationships" ref="N201" r:id="rId39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2026-09-08T02:20:01Z</dcterms:modified>
  <cp:revision>0</cp:revision>
</cp:coreProperties>
</file>